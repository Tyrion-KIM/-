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<sst xmlns="http://schemas.openxmlformats.org/spreadsheetml/2006/main">
  <si>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单PCS成本</t>
  </si>
  <si>
    <t>海外仓</t>
  </si>
  <si>
    <t>AGL-整柜-USD</t>
  </si>
  <si>
    <t>旺季 10-12个月</t>
  </si>
  <si>
    <t>68*48*35 cm</t>
  </si>
  <si>
    <t>头程</t>
  </si>
  <si>
    <t>M5为例</t>
  </si>
  <si>
    <t>长cm</t>
  </si>
  <si>
    <t>宽cm</t>
  </si>
  <si>
    <t>高cm</t>
  </si>
  <si>
    <t>入库操作费</t>
  </si>
  <si>
    <t>尾程</t>
  </si>
  <si>
    <t>仓储-90天</t>
  </si>
  <si>
    <t>FBA180天以上计算</t>
  </si>
  <si>
    <t>立方英尺</t>
  </si>
  <si>
    <t>合计</t>
  </si>
  <si>
    <t>超龄仓储费</t>
  </si>
  <si>
    <t>180天以上0.5美金/月/cubt</t>
  </si>
  <si>
    <t>立方米</t>
  </si>
  <si>
    <t>月度仓储利用率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</si>
</sst>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CC10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center"/>
    </xf>
    <xf numFmtId="4" fontId="4" fillId="0" borderId="0" xfId="0" applyNumberFormat="1" applyFont="1">
      <alignment vertical="center"/>
    </xf>
    <xf numFmtId="4" fontId="4" fillId="2" borderId="0" xfId="0" applyNumberFormat="1" applyFont="1" applyFill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3" max="3" width="13.623046875" customWidth="1"/>
    <col min="4" max="4" width="15.1201171875"/>
    <col min="6" max="6" width="6.9990234375" customWidth="1"/>
    <col min="7" max="7" width="6.123046875" customWidth="1"/>
    <col min="8" max="8" width="7.623046875"/>
  </cols>
  <sheetData>
    <row r="1" ht="16.5" customHeight="1">
      <c r="A1" s="4" t="s">
        <v>0</v>
      </c>
      <c r="B1" s="4" t="s">
        <v>1</v>
      </c>
      <c r="C1" s="4" t="s">
        <v>2</v>
      </c>
      <c r="D1" s="4" t="s">
        <v>3</v>
      </c>
      <c r="J1" s="4" t="s">
        <v>4</v>
      </c>
    </row>
    <row r="2" ht="16.5" customHeight="1">
      <c r="A2" s="4" t="s">
        <v>5</v>
      </c>
      <c r="B2" s="6" t="n">
        <f>130000/500/6.8</f>
        <v>38.2352941176471</v>
      </c>
      <c r="C2" s="6" t="n">
        <f>70000/500/6.8</f>
        <v>20.5882352941177</v>
      </c>
      <c r="E2" s="4" t="s">
        <v>6</v>
      </c>
      <c r="F2" s="4" t="s">
        <v>7</v>
      </c>
      <c r="G2" s="4" t="s">
        <v>8</v>
      </c>
      <c r="H2" s="4" t="s">
        <v>9</v>
      </c>
    </row>
    <row r="3" ht="16.5" customHeight="1">
      <c r="A3" s="4" t="s">
        <v>10</v>
      </c>
      <c r="B3" s="6" t="n">
        <f>4.8/6.8</f>
        <v>0.705882352941177</v>
      </c>
    </row>
    <row r="4" ht="16.5" customHeight="1">
      <c r="A4" s="4" t="s">
        <v>11</v>
      </c>
      <c r="B4" s="4" t="n">
        <v>36</v>
      </c>
      <c r="C4" s="4" t="n">
        <v>39</v>
      </c>
      <c r="F4" s="4" t="n">
        <v>68</v>
      </c>
      <c r="G4" s="4" t="n">
        <v>48</v>
      </c>
      <c r="H4" s="4" t="n">
        <v>35</v>
      </c>
    </row>
    <row r="5" ht="16.5" customHeight="1">
      <c r="A5" s="4" t="s">
        <v>12</v>
      </c>
      <c r="B5" s="4" t="n">
        <f>(0.66+0.2)*I7*90</f>
        <v>8.842176</v>
      </c>
      <c r="C5" s="4" t="n">
        <f>2.43*I5*3</f>
        <v>29.3787</v>
      </c>
      <c r="D5" s="4" t="s">
        <v>13</v>
      </c>
      <c r="H5" s="4" t="s">
        <v>14</v>
      </c>
      <c r="I5" s="4" t="n">
        <v>4.03</v>
      </c>
    </row>
    <row r="6" ht="16.5" customHeight="1">
      <c r="A6" s="5" t="s">
        <v>15</v>
      </c>
      <c r="B6" s="7" t="n">
        <f>SUM(B2:B5)</f>
        <v>83.7833524705883</v>
      </c>
      <c r="C6" s="7" t="n">
        <f>SUM(C2:C5)</f>
        <v>88.9669352941177</v>
      </c>
    </row>
    <row r="7" ht="16.5" customHeight="1">
      <c r="A7" s="4" t="s">
        <v>16</v>
      </c>
      <c r="C7" s="4" t="s">
        <v>17</v>
      </c>
      <c r="H7" s="4" t="s">
        <v>18</v>
      </c>
      <c r="I7" s="4" t="n">
        <f>F4*G4*H4/100/100/100</f>
        <v>0.11424</v>
      </c>
    </row>
    <row r="8" ht="16.5" customHeight="1">
      <c r="A8" s="4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2026-08-26T14:52:55Z</dcterms:modified>
</cp:coreProperties>
</file>