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人员与权重" sheetId="2" state="visible" r:id="rId2"/>
    <sheet xmlns:r="http://schemas.openxmlformats.org/officeDocument/2006/relationships" name="指标标准" sheetId="3" state="visible" r:id="rId3"/>
    <sheet xmlns:r="http://schemas.openxmlformats.org/officeDocument/2006/relationships" name="打分表模板" sheetId="4" state="visible" r:id="rId4"/>
    <sheet xmlns:r="http://schemas.openxmlformats.org/officeDocument/2006/relationships" name="任务块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164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1" t="inlineStr">
        <is>
          <t>物流团队绩效 V1 使用说明</t>
        </is>
      </c>
    </row>
    <row r="3">
      <c r="A3" s="2" t="inlineStr">
        <is>
          <t>一、月度流程</t>
        </is>
      </c>
      <c r="B3" t="inlineStr"/>
    </row>
    <row r="4">
      <c r="A4" s="2" t="inlineStr">
        <is>
          <t>1</t>
        </is>
      </c>
      <c r="B4" t="inlineStr">
        <is>
          <t>月初：复制[打分表模板]并重命名为 打分-YYYY-MM（如 打分-2026-09）</t>
        </is>
      </c>
    </row>
    <row r="5">
      <c r="A5" s="2" t="inlineStr">
        <is>
          <t>2</t>
        </is>
      </c>
      <c r="B5" t="inlineStr">
        <is>
          <t>月初：在[任务块]登记每人3-5条当月任务+验收物，月份列填当月（如2026-09）</t>
        </is>
      </c>
    </row>
    <row r="6">
      <c r="A6" s="2" t="inlineStr">
        <is>
          <t>3</t>
        </is>
      </c>
      <c r="B6" t="inlineStr">
        <is>
          <t>月中：日常积累；数据不可得的指标，[数据可用]列选 NA</t>
        </is>
      </c>
    </row>
    <row r="7">
      <c r="A7" s="2" t="inlineStr">
        <is>
          <t>4</t>
        </is>
      </c>
      <c r="B7" t="inlineStr">
        <is>
          <t>月末：填打分表原始数据；任务块打分（0/50/100）</t>
        </is>
      </c>
    </row>
    <row r="8">
      <c r="A8" s="2" t="inlineStr">
        <is>
          <t>5</t>
        </is>
      </c>
      <c r="B8" t="inlineStr">
        <is>
          <t>出分：python -X utf8 scripts/build_kpi_dashboard.py --month YYYY-MM</t>
        </is>
      </c>
    </row>
    <row r="9">
      <c r="A9" s="2" t="inlineStr">
        <is>
          <t>二、得分公式</t>
        </is>
      </c>
      <c r="B9" t="inlineStr"/>
    </row>
    <row r="10">
      <c r="A10" s="2" t="inlineStr">
        <is>
          <t>成本类</t>
        </is>
      </c>
      <c r="B10" t="inlineStr">
        <is>
          <t>min(100, 100×目标÷实际单台)；单台=运费B÷数量A</t>
        </is>
      </c>
    </row>
    <row r="11">
      <c r="A11" s="2" t="inlineStr">
        <is>
          <t>达标率类</t>
        </is>
      </c>
      <c r="B11" t="inlineStr">
        <is>
          <t>达标单数÷总单数×100</t>
        </is>
      </c>
    </row>
    <row r="12">
      <c r="A12" s="2" t="inlineStr">
        <is>
          <t>上限类（缺货/退件/库龄等）</t>
        </is>
      </c>
      <c r="B12" t="inlineStr">
        <is>
          <t>达标100；未达标 100×目标÷实际</t>
        </is>
      </c>
    </row>
    <row r="13">
      <c r="A13" s="2" t="inlineStr">
        <is>
          <t>下限类（准确率）</t>
        </is>
      </c>
      <c r="B13" t="inlineStr">
        <is>
          <t>达标100；未达标 100×实际÷目标</t>
        </is>
      </c>
    </row>
    <row r="14">
      <c r="A14" s="2" t="inlineStr">
        <is>
          <t>请款类</t>
        </is>
      </c>
      <c r="B14" t="inlineStr">
        <is>
          <t>时间50%+金额50%；10号前=100，每迟1个工作日-20（下限0）；金额 min(100,占比÷90%×100)</t>
        </is>
      </c>
    </row>
    <row r="15">
      <c r="A15" s="2" t="inlineStr">
        <is>
          <t>三、降级规则（NA）</t>
        </is>
      </c>
      <c r="B15" t="inlineStr"/>
    </row>
    <row r="16">
      <c r="A16" s="2" t="inlineStr">
        <is>
          <t>规则</t>
        </is>
      </c>
      <c r="B16" t="inlineStr">
        <is>
          <t>指标数据不可得→[数据可用]选NA→该指标剔除，个人总分按可用权重归一化；没数据不编分数</t>
        </is>
      </c>
    </row>
    <row r="17">
      <c r="A17" s="2" t="inlineStr">
        <is>
          <t>覆盖率</t>
        </is>
      </c>
      <c r="B17" t="inlineStr">
        <is>
          <t>打分表总分区显示每人 数据覆盖率=可用量化权重÷70；连续两月&lt;60%的线，数据管道建设进该人下月任务块</t>
        </is>
      </c>
    </row>
    <row r="18">
      <c r="A18" s="2" t="inlineStr">
        <is>
          <t>四、可控性原则</t>
        </is>
      </c>
      <c r="B18" t="inlineStr"/>
    </row>
    <row r="19">
      <c r="A19" s="2" t="inlineStr">
        <is>
          <t>原则</t>
        </is>
      </c>
      <c r="B19" t="inlineStr">
        <is>
          <t>计分指标必须本人可控；不可控但重要的（FOB截关装船准时率-货代控制）在打分表监控区只显示不计分</t>
        </is>
      </c>
    </row>
    <row r="20">
      <c r="A20" s="2" t="inlineStr">
        <is>
          <t>五、看板红绿灯</t>
        </is>
      </c>
      <c r="B20" t="inlineStr"/>
    </row>
    <row r="21">
      <c r="A21" s="2" t="inlineStr">
        <is>
          <t>阈值</t>
        </is>
      </c>
      <c r="B21" t="inlineStr">
        <is>
          <t>绿≥85 / 黄70-84.9 / 红&lt;70 / NA灰；实习生（张雨洁）算分但不排名不挂钱</t>
        </is>
      </c>
    </row>
    <row r="22">
      <c r="A22" s="2" t="inlineStr">
        <is>
          <t>六、版本</t>
        </is>
      </c>
      <c r="B22" t="inlineStr"/>
    </row>
    <row r="23">
      <c r="A23" s="2" t="inlineStr">
        <is>
          <t>V1</t>
        </is>
      </c>
      <c r="B23" t="inlineStr">
        <is>
          <t>2026-08-19 定稿；权重固定，2027-02 复盘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30" customWidth="1" min="3" max="3"/>
    <col width="52" customWidth="1" min="4" max="4"/>
    <col width="12" customWidth="1" min="5" max="5"/>
  </cols>
  <sheetData>
    <row r="1">
      <c r="A1" s="1" t="inlineStr">
        <is>
          <t>团队分工与权重（固定，2027-02复盘调整）</t>
        </is>
      </c>
    </row>
    <row r="3">
      <c r="A3" s="3" t="inlineStr">
        <is>
          <t>姓名</t>
        </is>
      </c>
      <c r="B3" s="3" t="inlineStr">
        <is>
          <t>岗位</t>
        </is>
      </c>
      <c r="C3" s="3" t="inlineStr">
        <is>
          <t>分工</t>
        </is>
      </c>
      <c r="D3" s="3" t="inlineStr">
        <is>
          <t>量化块明细（70%）</t>
        </is>
      </c>
      <c r="E3" s="3" t="inlineStr">
        <is>
          <t>任务块（30%）</t>
        </is>
      </c>
    </row>
    <row r="4">
      <c r="A4" t="inlineStr">
        <is>
          <t>金炜铮</t>
        </is>
      </c>
      <c r="B4" t="inlineStr">
        <is>
          <t>物流中心主管</t>
        </is>
      </c>
      <c r="C4" t="inlineStr">
        <is>
          <t>物流中心全范围</t>
        </is>
      </c>
      <c r="D4" t="inlineStr">
        <is>
          <t>团队单台成本30 · 三段结构20 · 团队请款10 · 专员均分10</t>
        </is>
      </c>
      <c r="E4" t="inlineStr">
        <is>
          <t>管理任务</t>
        </is>
      </c>
    </row>
    <row r="5">
      <c r="A5" t="inlineStr">
        <is>
          <t>郑舒漫</t>
        </is>
      </c>
      <c r="B5" t="inlineStr">
        <is>
          <t>物流专员</t>
        </is>
      </c>
      <c r="C5" t="inlineStr">
        <is>
          <t>头程FOB</t>
        </is>
      </c>
      <c r="D5" t="inlineStr">
        <is>
          <t>FOB(单证15+订舱10) · FCA执行25 · 请款20</t>
        </is>
      </c>
      <c r="E5" t="inlineStr">
        <is>
          <t>30</t>
        </is>
      </c>
    </row>
    <row r="6">
      <c r="A6" t="inlineStr">
        <is>
          <t>吴佳钒</t>
        </is>
      </c>
      <c r="B6" t="inlineStr">
        <is>
          <t>物流专员</t>
        </is>
      </c>
      <c r="C6" t="inlineStr">
        <is>
          <t>头程DDP</t>
        </is>
      </c>
      <c r="D6" t="inlineStr">
        <is>
          <t>DDP成本27+时效18 · 始发计划10 · 在途库存5 · 请款10</t>
        </is>
      </c>
      <c r="E6" t="inlineStr">
        <is>
          <t>30</t>
        </is>
      </c>
    </row>
    <row r="7">
      <c r="A7" t="inlineStr">
        <is>
          <t>黄婷</t>
        </is>
      </c>
      <c r="B7" t="inlineStr">
        <is>
          <t>物流专员</t>
        </is>
      </c>
      <c r="C7" t="inlineStr">
        <is>
          <t>目的国大货中转、B端运输</t>
        </is>
      </c>
      <c r="D7" t="inlineStr">
        <is>
          <t>B端成本21+时效14 · 目的国计划10 · B端库存10 · 请款15</t>
        </is>
      </c>
      <c r="E7" t="inlineStr">
        <is>
          <t>30</t>
        </is>
      </c>
    </row>
    <row r="8">
      <c r="A8" t="inlineStr">
        <is>
          <t>吴定佳</t>
        </is>
      </c>
      <c r="B8" t="inlineStr">
        <is>
          <t>物流专员</t>
        </is>
      </c>
      <c r="C8" t="inlineStr">
        <is>
          <t>一件代发、C端履约、售后退货</t>
        </is>
      </c>
      <c r="D8" t="inlineStr">
        <is>
          <t>一件代发成本24+时效16 · 退件率10 · C端库存10 · 请款10</t>
        </is>
      </c>
      <c r="E8" t="inlineStr">
        <is>
          <t>30</t>
        </is>
      </c>
    </row>
    <row r="9">
      <c r="A9" t="inlineStr">
        <is>
          <t>张雨洁</t>
        </is>
      </c>
      <c r="B9" t="inlineStr">
        <is>
          <t>物流实习生</t>
        </is>
      </c>
      <c r="C9" t="inlineStr">
        <is>
          <t>样机发运、进口、账单核对</t>
        </is>
      </c>
      <c r="D9" t="inlineStr">
        <is>
          <t>特殊发运40 · 进口时效20 · 账单协同10（不排名不挂钱）</t>
        </is>
      </c>
      <c r="E9" t="inlineStr">
        <is>
          <t>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9" max="9"/>
    <col width="22" customWidth="1" min="10" max="10"/>
    <col width="34" customWidth="1" min="11" max="11"/>
  </cols>
  <sheetData>
    <row r="1">
      <c r="A1" s="1" t="inlineStr">
        <is>
          <t>指标标准字典（唯一口径来源）</t>
        </is>
      </c>
    </row>
    <row r="3">
      <c r="A3" s="3" t="inlineStr">
        <is>
          <t>指标ID</t>
        </is>
      </c>
      <c r="B3" s="3" t="inlineStr">
        <is>
          <t>人员</t>
        </is>
      </c>
      <c r="C3" s="3" t="inlineStr">
        <is>
          <t>业务线</t>
        </is>
      </c>
      <c r="D3" s="3" t="inlineStr">
        <is>
          <t>指标</t>
        </is>
      </c>
      <c r="E3" s="3" t="inlineStr">
        <is>
          <t>公式类型</t>
        </is>
      </c>
      <c r="F3" s="3" t="inlineStr">
        <is>
          <t>目标</t>
        </is>
      </c>
      <c r="G3" s="3" t="inlineStr">
        <is>
          <t>单位</t>
        </is>
      </c>
      <c r="H3" s="3" t="inlineStr">
        <is>
          <t>权重</t>
        </is>
      </c>
      <c r="I3" s="3" t="inlineStr">
        <is>
          <t>原始字段说明</t>
        </is>
      </c>
      <c r="J3" s="3" t="inlineStr">
        <is>
          <t>数据源</t>
        </is>
      </c>
      <c r="K3" s="3" t="inlineStr">
        <is>
          <t>取值口径</t>
        </is>
      </c>
    </row>
    <row r="4">
      <c r="A4" t="inlineStr">
        <is>
          <t>K01</t>
        </is>
      </c>
      <c r="B4" t="inlineStr">
        <is>
          <t>吴佳钒</t>
        </is>
      </c>
      <c r="C4" t="inlineStr">
        <is>
          <t>DDP头程</t>
        </is>
      </c>
      <c r="D4" t="inlineStr">
        <is>
          <t>成本</t>
        </is>
      </c>
      <c r="E4" t="inlineStr">
        <is>
          <t>成本-计算</t>
        </is>
      </c>
      <c r="F4" t="n">
        <v>15</v>
      </c>
      <c r="G4" t="inlineStr">
        <is>
          <t>欧/台</t>
        </is>
      </c>
      <c r="H4" t="n">
        <v>27</v>
      </c>
      <c r="I4" t="inlineStr">
        <is>
          <t>发货数量A / 运费折欧B</t>
        </is>
      </c>
      <c r="J4" t="inlineStr">
        <is>
          <t>头程大表；长期易仓</t>
        </is>
      </c>
      <c r="K4" t="inlineStr">
        <is>
          <t>当月签收订单</t>
        </is>
      </c>
    </row>
    <row r="5">
      <c r="A5" t="inlineStr">
        <is>
          <t>K02</t>
        </is>
      </c>
      <c r="B5" t="inlineStr">
        <is>
          <t>吴佳钒</t>
        </is>
      </c>
      <c r="C5" t="inlineStr">
        <is>
          <t>DDP头程</t>
        </is>
      </c>
      <c r="D5" t="inlineStr">
        <is>
          <t>时效</t>
        </is>
      </c>
      <c r="E5" t="inlineStr">
        <is>
          <t>达标率</t>
        </is>
      </c>
      <c r="G5" t="inlineStr">
        <is>
          <t>%</t>
        </is>
      </c>
      <c r="H5" t="n">
        <v>18</v>
      </c>
      <c r="I5" t="inlineStr">
        <is>
          <t>达标单数 / 总单数</t>
        </is>
      </c>
      <c r="J5" t="inlineStr">
        <is>
          <t>头程大表；长期易仓</t>
        </is>
      </c>
      <c r="K5" t="inlineStr">
        <is>
          <t>当月签收订单，标准时效</t>
        </is>
      </c>
    </row>
    <row r="6">
      <c r="A6" t="inlineStr">
        <is>
          <t>K03</t>
        </is>
      </c>
      <c r="B6" t="inlineStr">
        <is>
          <t>吴佳钒</t>
        </is>
      </c>
      <c r="C6" t="inlineStr">
        <is>
          <t>始发计划</t>
        </is>
      </c>
      <c r="D6" t="inlineStr">
        <is>
          <t>缺货率</t>
        </is>
      </c>
      <c r="E6" t="inlineStr">
        <is>
          <t>上限</t>
        </is>
      </c>
      <c r="F6" t="n">
        <v>0.05</v>
      </c>
      <c r="G6" t="inlineStr">
        <is>
          <t>%</t>
        </is>
      </c>
      <c r="H6" t="n">
        <v>5</v>
      </c>
      <c r="I6" t="inlineStr">
        <is>
          <t>实际缺货率(小数)</t>
        </is>
      </c>
      <c r="J6" t="inlineStr">
        <is>
          <t>库内MES+排产表</t>
        </is>
      </c>
      <c r="K6" t="inlineStr">
        <is>
          <t>每周一交付计划</t>
        </is>
      </c>
    </row>
    <row r="7">
      <c r="A7" t="inlineStr">
        <is>
          <t>K04</t>
        </is>
      </c>
      <c r="B7" t="inlineStr">
        <is>
          <t>吴佳钒</t>
        </is>
      </c>
      <c r="C7" t="inlineStr">
        <is>
          <t>始发计划</t>
        </is>
      </c>
      <c r="D7" t="inlineStr">
        <is>
          <t>缺货时间</t>
        </is>
      </c>
      <c r="E7" t="inlineStr">
        <is>
          <t>上限</t>
        </is>
      </c>
      <c r="F7" t="n">
        <v>7</v>
      </c>
      <c r="G7" t="inlineStr">
        <is>
          <t>天</t>
        </is>
      </c>
      <c r="H7" t="n">
        <v>5</v>
      </c>
      <c r="I7" t="inlineStr">
        <is>
          <t>实际缺货天数</t>
        </is>
      </c>
      <c r="J7" t="inlineStr">
        <is>
          <t>库内MES+排产表</t>
        </is>
      </c>
      <c r="K7" t="inlineStr">
        <is>
          <t>缺货持续≤7天</t>
        </is>
      </c>
    </row>
    <row r="8">
      <c r="A8" t="inlineStr">
        <is>
          <t>K05</t>
        </is>
      </c>
      <c r="B8" t="inlineStr">
        <is>
          <t>吴佳钒</t>
        </is>
      </c>
      <c r="C8" t="inlineStr">
        <is>
          <t>在途库存</t>
        </is>
      </c>
      <c r="D8" t="inlineStr">
        <is>
          <t>上架准确率</t>
        </is>
      </c>
      <c r="E8" t="inlineStr">
        <is>
          <t>下限</t>
        </is>
      </c>
      <c r="F8" t="n">
        <v>0.95</v>
      </c>
      <c r="G8" t="inlineStr">
        <is>
          <t>%</t>
        </is>
      </c>
      <c r="H8" t="n">
        <v>5</v>
      </c>
      <c r="I8" t="inlineStr">
        <is>
          <t>实际上架准确率(小数)</t>
        </is>
      </c>
      <c r="J8" t="inlineStr">
        <is>
          <t>各仓入库单上架情况</t>
        </is>
      </c>
      <c r="K8" t="inlineStr"/>
    </row>
    <row r="9">
      <c r="A9" t="inlineStr">
        <is>
          <t>K06</t>
        </is>
      </c>
      <c r="B9" t="inlineStr">
        <is>
          <t>吴佳钒</t>
        </is>
      </c>
      <c r="C9" t="inlineStr">
        <is>
          <t>财务</t>
        </is>
      </c>
      <c r="D9" t="inlineStr">
        <is>
          <t>请款-DDP</t>
        </is>
      </c>
      <c r="E9" t="inlineStr">
        <is>
          <t>请款</t>
        </is>
      </c>
      <c r="G9" t="inlineStr"/>
      <c r="H9" t="n">
        <v>10</v>
      </c>
      <c r="I9" t="inlineStr">
        <is>
          <t>迟报工作日数 / 请款金额占比(小数)</t>
        </is>
      </c>
      <c r="J9" t="inlineStr">
        <is>
          <t>请款记录</t>
        </is>
      </c>
      <c r="K9" t="inlineStr">
        <is>
          <t>10号前，≥90%</t>
        </is>
      </c>
    </row>
    <row r="10">
      <c r="A10" t="inlineStr">
        <is>
          <t>K07</t>
        </is>
      </c>
      <c r="B10" t="inlineStr">
        <is>
          <t>郑舒漫</t>
        </is>
      </c>
      <c r="C10" t="inlineStr">
        <is>
          <t>FOB</t>
        </is>
      </c>
      <c r="D10" t="inlineStr">
        <is>
          <t>单证准确率</t>
        </is>
      </c>
      <c r="E10" t="inlineStr">
        <is>
          <t>下限</t>
        </is>
      </c>
      <c r="F10" t="n">
        <v>1</v>
      </c>
      <c r="G10" t="inlineStr">
        <is>
          <t>%</t>
        </is>
      </c>
      <c r="H10" t="n">
        <v>15</v>
      </c>
      <c r="I10" t="inlineStr">
        <is>
          <t>单证准确率(小数)</t>
        </is>
      </c>
      <c r="J10" t="inlineStr">
        <is>
          <t>货代台账</t>
        </is>
      </c>
      <c r="K10" t="inlineStr">
        <is>
          <t>我方单证零差错</t>
        </is>
      </c>
    </row>
    <row r="11">
      <c r="A11" t="inlineStr">
        <is>
          <t>K08</t>
        </is>
      </c>
      <c r="B11" t="inlineStr">
        <is>
          <t>郑舒漫</t>
        </is>
      </c>
      <c r="C11" t="inlineStr">
        <is>
          <t>FOB</t>
        </is>
      </c>
      <c r="D11" t="inlineStr">
        <is>
          <t>订舱及时率</t>
        </is>
      </c>
      <c r="E11" t="inlineStr">
        <is>
          <t>达标率</t>
        </is>
      </c>
      <c r="G11" t="inlineStr">
        <is>
          <t>%</t>
        </is>
      </c>
      <c r="H11" t="n">
        <v>10</v>
      </c>
      <c r="I11" t="inlineStr">
        <is>
          <t>按时回传S/O单数 / 总单数</t>
        </is>
      </c>
      <c r="J11" t="inlineStr">
        <is>
          <t>货代台账</t>
        </is>
      </c>
      <c r="K11" t="inlineStr">
        <is>
          <t>OA审单→S/O≤1个工作日</t>
        </is>
      </c>
    </row>
    <row r="12">
      <c r="A12" t="inlineStr">
        <is>
          <t>K09</t>
        </is>
      </c>
      <c r="B12" t="inlineStr">
        <is>
          <t>郑舒漫</t>
        </is>
      </c>
      <c r="C12" t="inlineStr">
        <is>
          <t>FCA</t>
        </is>
      </c>
      <c r="D12" t="inlineStr">
        <is>
          <t>执行时效</t>
        </is>
      </c>
      <c r="E12" t="inlineStr">
        <is>
          <t>达标率</t>
        </is>
      </c>
      <c r="G12" t="inlineStr">
        <is>
          <t>%</t>
        </is>
      </c>
      <c r="H12" t="n">
        <v>25</v>
      </c>
      <c r="I12" t="inlineStr">
        <is>
          <t>48h内达标单数 / 总单数</t>
        </is>
      </c>
      <c r="J12" t="inlineStr">
        <is>
          <t>OA订单数据</t>
        </is>
      </c>
      <c r="K12" t="inlineStr">
        <is>
          <t>OA申请→工厂发出≤48h</t>
        </is>
      </c>
    </row>
    <row r="13">
      <c r="A13" t="inlineStr">
        <is>
          <t>K10</t>
        </is>
      </c>
      <c r="B13" t="inlineStr">
        <is>
          <t>郑舒漫</t>
        </is>
      </c>
      <c r="C13" t="inlineStr">
        <is>
          <t>财务</t>
        </is>
      </c>
      <c r="D13" t="inlineStr">
        <is>
          <t>请款-FOB</t>
        </is>
      </c>
      <c r="E13" t="inlineStr">
        <is>
          <t>请款</t>
        </is>
      </c>
      <c r="G13" t="inlineStr"/>
      <c r="H13" t="n">
        <v>20</v>
      </c>
      <c r="I13" t="inlineStr">
        <is>
          <t>迟报工作日数 / 请款金额占比(小数)</t>
        </is>
      </c>
      <c r="J13" t="inlineStr">
        <is>
          <t>请款记录</t>
        </is>
      </c>
      <c r="K13" t="inlineStr">
        <is>
          <t>10号前，≥90%</t>
        </is>
      </c>
    </row>
    <row r="14">
      <c r="A14" t="inlineStr">
        <is>
          <t>K11</t>
        </is>
      </c>
      <c r="B14" t="inlineStr">
        <is>
          <t>黄婷</t>
        </is>
      </c>
      <c r="C14" t="inlineStr">
        <is>
          <t>B端中转</t>
        </is>
      </c>
      <c r="D14" t="inlineStr">
        <is>
          <t>成本</t>
        </is>
      </c>
      <c r="E14" t="inlineStr">
        <is>
          <t>成本-计算</t>
        </is>
      </c>
      <c r="F14" t="n">
        <v>15</v>
      </c>
      <c r="G14" t="inlineStr">
        <is>
          <t>欧/台</t>
        </is>
      </c>
      <c r="H14" t="n">
        <v>21</v>
      </c>
      <c r="I14" t="inlineStr">
        <is>
          <t>签收数量A / 运费折欧B</t>
        </is>
      </c>
      <c r="J14" t="inlineStr">
        <is>
          <t>当月核对账单</t>
        </is>
      </c>
      <c r="K14" t="inlineStr">
        <is>
          <t>当月签收</t>
        </is>
      </c>
    </row>
    <row r="15">
      <c r="A15" t="inlineStr">
        <is>
          <t>K12</t>
        </is>
      </c>
      <c r="B15" t="inlineStr">
        <is>
          <t>黄婷</t>
        </is>
      </c>
      <c r="C15" t="inlineStr">
        <is>
          <t>B端中转</t>
        </is>
      </c>
      <c r="D15" t="inlineStr">
        <is>
          <t>时效</t>
        </is>
      </c>
      <c r="E15" t="inlineStr">
        <is>
          <t>达标率</t>
        </is>
      </c>
      <c r="G15" t="inlineStr">
        <is>
          <t>%</t>
        </is>
      </c>
      <c r="H15" t="n">
        <v>14</v>
      </c>
      <c r="I15" t="inlineStr">
        <is>
          <t>达标单数 / 总单数</t>
        </is>
      </c>
      <c r="J15" t="inlineStr">
        <is>
          <t>签收单+分段标准</t>
        </is>
      </c>
      <c r="K15" t="inlineStr">
        <is>
          <t>DE1/DK2/AT2/SE1/SI2工作日；旺3-6淡7-2</t>
        </is>
      </c>
    </row>
    <row r="16">
      <c r="A16" t="inlineStr">
        <is>
          <t>K13</t>
        </is>
      </c>
      <c r="B16" t="inlineStr">
        <is>
          <t>黄婷</t>
        </is>
      </c>
      <c r="C16" t="inlineStr">
        <is>
          <t>目的国计划</t>
        </is>
      </c>
      <c r="D16" t="inlineStr">
        <is>
          <t>缺货率</t>
        </is>
      </c>
      <c r="E16" t="inlineStr">
        <is>
          <t>上限</t>
        </is>
      </c>
      <c r="F16" t="n">
        <v>0.05</v>
      </c>
      <c r="G16" t="inlineStr">
        <is>
          <t>%</t>
        </is>
      </c>
      <c r="H16" t="n">
        <v>5</v>
      </c>
      <c r="I16" t="inlineStr">
        <is>
          <t>实际缺货率(小数)</t>
        </is>
      </c>
      <c r="J16" t="inlineStr">
        <is>
          <t>在库+待发+在途表</t>
        </is>
      </c>
      <c r="K16" t="inlineStr">
        <is>
          <t>每周一交付计划</t>
        </is>
      </c>
    </row>
    <row r="17">
      <c r="A17" t="inlineStr">
        <is>
          <t>K14</t>
        </is>
      </c>
      <c r="B17" t="inlineStr">
        <is>
          <t>黄婷</t>
        </is>
      </c>
      <c r="C17" t="inlineStr">
        <is>
          <t>目的国计划</t>
        </is>
      </c>
      <c r="D17" t="inlineStr">
        <is>
          <t>缺货时间</t>
        </is>
      </c>
      <c r="E17" t="inlineStr">
        <is>
          <t>上限</t>
        </is>
      </c>
      <c r="F17" t="n">
        <v>7</v>
      </c>
      <c r="G17" t="inlineStr">
        <is>
          <t>天</t>
        </is>
      </c>
      <c r="H17" t="n">
        <v>5</v>
      </c>
      <c r="I17" t="inlineStr">
        <is>
          <t>实际缺货天数</t>
        </is>
      </c>
      <c r="J17" t="inlineStr">
        <is>
          <t>在库+待发+在途表</t>
        </is>
      </c>
      <c r="K17" t="inlineStr">
        <is>
          <t>缺货持续≤7天</t>
        </is>
      </c>
    </row>
    <row r="18">
      <c r="A18" t="inlineStr">
        <is>
          <t>K15</t>
        </is>
      </c>
      <c r="B18" t="inlineStr">
        <is>
          <t>黄婷</t>
        </is>
      </c>
      <c r="C18" t="inlineStr">
        <is>
          <t>B端库存</t>
        </is>
      </c>
      <c r="D18" t="inlineStr">
        <is>
          <t>综合</t>
        </is>
      </c>
      <c r="E18" t="inlineStr">
        <is>
          <t>库存综合</t>
        </is>
      </c>
      <c r="G18" t="inlineStr"/>
      <c r="H18" t="n">
        <v>10</v>
      </c>
      <c r="I18" t="inlineStr">
        <is>
          <t>长周期占比(小数) / 平均库龄(天) / 单台库内成本(欧)</t>
        </is>
      </c>
      <c r="J18" t="inlineStr">
        <is>
          <t>各仓库存表+账单</t>
        </is>
      </c>
      <c r="K18" t="inlineStr">
        <is>
          <t>≤3%/≤120天/≤5欧</t>
        </is>
      </c>
    </row>
    <row r="19">
      <c r="A19" t="inlineStr">
        <is>
          <t>K16</t>
        </is>
      </c>
      <c r="B19" t="inlineStr">
        <is>
          <t>黄婷</t>
        </is>
      </c>
      <c r="C19" t="inlineStr">
        <is>
          <t>财务</t>
        </is>
      </c>
      <c r="D19" t="inlineStr">
        <is>
          <t>请款-B端仓库内</t>
        </is>
      </c>
      <c r="E19" t="inlineStr">
        <is>
          <t>请款</t>
        </is>
      </c>
      <c r="G19" t="inlineStr"/>
      <c r="H19" t="n">
        <v>7.5</v>
      </c>
      <c r="I19" t="inlineStr">
        <is>
          <t>迟报工作日数 / 请款金额占比(小数)</t>
        </is>
      </c>
      <c r="J19" t="inlineStr">
        <is>
          <t>请款记录</t>
        </is>
      </c>
      <c r="K19" t="inlineStr">
        <is>
          <t>10号前，≥90%</t>
        </is>
      </c>
    </row>
    <row r="20">
      <c r="A20" t="inlineStr">
        <is>
          <t>K17</t>
        </is>
      </c>
      <c r="B20" t="inlineStr">
        <is>
          <t>黄婷</t>
        </is>
      </c>
      <c r="C20" t="inlineStr">
        <is>
          <t>财务</t>
        </is>
      </c>
      <c r="D20" t="inlineStr">
        <is>
          <t>请款-海外仓调拨</t>
        </is>
      </c>
      <c r="E20" t="inlineStr">
        <is>
          <t>请款</t>
        </is>
      </c>
      <c r="G20" t="inlineStr"/>
      <c r="H20" t="n">
        <v>7.5</v>
      </c>
      <c r="I20" t="inlineStr">
        <is>
          <t>迟报工作日数 / 请款金额占比(小数)</t>
        </is>
      </c>
      <c r="J20" t="inlineStr">
        <is>
          <t>请款记录</t>
        </is>
      </c>
      <c r="K20" t="inlineStr">
        <is>
          <t>10号前，≥90%</t>
        </is>
      </c>
    </row>
    <row r="21">
      <c r="A21" t="inlineStr">
        <is>
          <t>K18</t>
        </is>
      </c>
      <c r="B21" t="inlineStr">
        <is>
          <t>吴定佳</t>
        </is>
      </c>
      <c r="C21" t="inlineStr">
        <is>
          <t>一件代发</t>
        </is>
      </c>
      <c r="D21" t="inlineStr">
        <is>
          <t>成本</t>
        </is>
      </c>
      <c r="E21" t="inlineStr">
        <is>
          <t>成本-计算</t>
        </is>
      </c>
      <c r="F21" t="n">
        <v>15</v>
      </c>
      <c r="G21" t="inlineStr">
        <is>
          <t>欧/台</t>
        </is>
      </c>
      <c r="H21" t="n">
        <v>24</v>
      </c>
      <c r="I21" t="inlineStr">
        <is>
          <t>出库数量A / 运费折欧B</t>
        </is>
      </c>
      <c r="J21" t="inlineStr">
        <is>
          <t>正向仓账单+领星/易仓</t>
        </is>
      </c>
      <c r="K21" t="inlineStr">
        <is>
          <t>当月出库</t>
        </is>
      </c>
    </row>
    <row r="22">
      <c r="A22" t="inlineStr">
        <is>
          <t>K19</t>
        </is>
      </c>
      <c r="B22" t="inlineStr">
        <is>
          <t>吴定佳</t>
        </is>
      </c>
      <c r="C22" t="inlineStr">
        <is>
          <t>一件代发</t>
        </is>
      </c>
      <c r="D22" t="inlineStr">
        <is>
          <t>时效</t>
        </is>
      </c>
      <c r="E22" t="inlineStr">
        <is>
          <t>达标率</t>
        </is>
      </c>
      <c r="G22" t="inlineStr">
        <is>
          <t>%</t>
        </is>
      </c>
      <c r="H22" t="n">
        <v>16</v>
      </c>
      <c r="I22" t="inlineStr">
        <is>
          <t>达标单数 / 总单数</t>
        </is>
      </c>
      <c r="J22" t="inlineStr">
        <is>
          <t>渠道承诺时效</t>
        </is>
      </c>
      <c r="K22" t="inlineStr">
        <is>
          <t>出库单生成→签收；分段标准任务块定稿</t>
        </is>
      </c>
    </row>
    <row r="23">
      <c r="A23" t="inlineStr">
        <is>
          <t>K20</t>
        </is>
      </c>
      <c r="B23" t="inlineStr">
        <is>
          <t>吴定佳</t>
        </is>
      </c>
      <c r="C23" t="inlineStr">
        <is>
          <t>售后物流</t>
        </is>
      </c>
      <c r="D23" t="inlineStr">
        <is>
          <t>退件率</t>
        </is>
      </c>
      <c r="E23" t="inlineStr">
        <is>
          <t>上限</t>
        </is>
      </c>
      <c r="F23" t="n">
        <v>0.02</v>
      </c>
      <c r="G23" t="inlineStr">
        <is>
          <t>%</t>
        </is>
      </c>
      <c r="H23" t="n">
        <v>10</v>
      </c>
      <c r="I23" t="inlineStr">
        <is>
          <t>物流因素退件率(小数)</t>
        </is>
      </c>
      <c r="J23" t="inlineStr">
        <is>
          <t>客服数据</t>
        </is>
      </c>
      <c r="K23" t="inlineStr">
        <is>
          <t>≤2%</t>
        </is>
      </c>
    </row>
    <row r="24">
      <c r="A24" t="inlineStr">
        <is>
          <t>K21</t>
        </is>
      </c>
      <c r="B24" t="inlineStr">
        <is>
          <t>吴定佳</t>
        </is>
      </c>
      <c r="C24" t="inlineStr">
        <is>
          <t>C端库存</t>
        </is>
      </c>
      <c r="D24" t="inlineStr">
        <is>
          <t>综合</t>
        </is>
      </c>
      <c r="E24" t="inlineStr">
        <is>
          <t>库存综合</t>
        </is>
      </c>
      <c r="G24" t="inlineStr"/>
      <c r="H24" t="n">
        <v>10</v>
      </c>
      <c r="I24" t="inlineStr">
        <is>
          <t>长周期占比(小数) / 平均库龄(天) / 单台库内成本(欧)</t>
        </is>
      </c>
      <c r="J24" t="inlineStr">
        <is>
          <t>各仓库存表+账单</t>
        </is>
      </c>
      <c r="K24" t="inlineStr">
        <is>
          <t>≤3%/≤120天/≤5欧</t>
        </is>
      </c>
    </row>
    <row r="25">
      <c r="A25" t="inlineStr">
        <is>
          <t>K22</t>
        </is>
      </c>
      <c r="B25" t="inlineStr">
        <is>
          <t>吴定佳</t>
        </is>
      </c>
      <c r="C25" t="inlineStr">
        <is>
          <t>财务</t>
        </is>
      </c>
      <c r="D25" t="inlineStr">
        <is>
          <t>请款-C端仓库内</t>
        </is>
      </c>
      <c r="E25" t="inlineStr">
        <is>
          <t>请款</t>
        </is>
      </c>
      <c r="G25" t="inlineStr"/>
      <c r="H25" t="n">
        <v>10</v>
      </c>
      <c r="I25" t="inlineStr">
        <is>
          <t>迟报工作日数 / 请款金额占比(小数)</t>
        </is>
      </c>
      <c r="J25" t="inlineStr">
        <is>
          <t>请款记录</t>
        </is>
      </c>
      <c r="K25" t="inlineStr">
        <is>
          <t>10号前，≥90%</t>
        </is>
      </c>
    </row>
    <row r="26">
      <c r="A26" t="inlineStr">
        <is>
          <t>K23</t>
        </is>
      </c>
      <c r="B26" t="inlineStr">
        <is>
          <t>张雨洁</t>
        </is>
      </c>
      <c r="C26" t="inlineStr">
        <is>
          <t>特殊发运</t>
        </is>
      </c>
      <c r="D26" t="inlineStr">
        <is>
          <t>时效</t>
        </is>
      </c>
      <c r="E26" t="inlineStr">
        <is>
          <t>达标率</t>
        </is>
      </c>
      <c r="G26" t="inlineStr">
        <is>
          <t>%</t>
        </is>
      </c>
      <c r="H26" t="n">
        <v>40</v>
      </c>
      <c r="I26" t="inlineStr">
        <is>
          <t>达标单数 / 总单数</t>
        </is>
      </c>
      <c r="J26" t="inlineStr">
        <is>
          <t>头程大表；长期易仓</t>
        </is>
      </c>
      <c r="K26" t="inlineStr">
        <is>
          <t>当月签收，按运输方式分段</t>
        </is>
      </c>
    </row>
    <row r="27">
      <c r="A27" t="inlineStr">
        <is>
          <t>K24</t>
        </is>
      </c>
      <c r="B27" t="inlineStr">
        <is>
          <t>张雨洁</t>
        </is>
      </c>
      <c r="C27" t="inlineStr">
        <is>
          <t>进口业务</t>
        </is>
      </c>
      <c r="D27" t="inlineStr">
        <is>
          <t>时效</t>
        </is>
      </c>
      <c r="E27" t="inlineStr">
        <is>
          <t>达标率</t>
        </is>
      </c>
      <c r="G27" t="inlineStr">
        <is>
          <t>%</t>
        </is>
      </c>
      <c r="H27" t="n">
        <v>20</v>
      </c>
      <c r="I27" t="inlineStr">
        <is>
          <t>达标单数 / 总单数</t>
        </is>
      </c>
      <c r="J27" t="inlineStr">
        <is>
          <t>待定</t>
        </is>
      </c>
      <c r="K27" t="inlineStr">
        <is>
          <t>分段标准8月底前定，否则首月NA</t>
        </is>
      </c>
    </row>
    <row r="28">
      <c r="A28" t="inlineStr">
        <is>
          <t>K25</t>
        </is>
      </c>
      <c r="B28" t="inlineStr">
        <is>
          <t>张雨洁</t>
        </is>
      </c>
      <c r="C28" t="inlineStr">
        <is>
          <t>财务</t>
        </is>
      </c>
      <c r="D28" t="inlineStr">
        <is>
          <t>账单协同-请款</t>
        </is>
      </c>
      <c r="E28" t="inlineStr">
        <is>
          <t>请款</t>
        </is>
      </c>
      <c r="G28" t="inlineStr"/>
      <c r="H28" t="n">
        <v>10</v>
      </c>
      <c r="I28" t="inlineStr">
        <is>
          <t>迟报工作日数 / 请款金额占比(小数)</t>
        </is>
      </c>
      <c r="J28" t="inlineStr">
        <is>
          <t>请款记录</t>
        </is>
      </c>
      <c r="K28" t="inlineStr">
        <is>
          <t>协同雨洁表格</t>
        </is>
      </c>
    </row>
    <row r="29">
      <c r="A29" t="inlineStr">
        <is>
          <t>K26</t>
        </is>
      </c>
      <c r="B29" t="inlineStr">
        <is>
          <t>金炜铮</t>
        </is>
      </c>
      <c r="C29" t="inlineStr">
        <is>
          <t>团队</t>
        </is>
      </c>
      <c r="D29" t="inlineStr">
        <is>
          <t>单台总成本</t>
        </is>
      </c>
      <c r="E29" t="inlineStr">
        <is>
          <t>成本-直填</t>
        </is>
      </c>
      <c r="F29" t="n">
        <v>36</v>
      </c>
      <c r="G29" t="inlineStr">
        <is>
          <t>欧/台</t>
        </is>
      </c>
      <c r="H29" t="n">
        <v>30</v>
      </c>
      <c r="I29" t="inlineStr">
        <is>
          <t>当月实际单台总成本</t>
        </is>
      </c>
      <c r="J29" t="inlineStr">
        <is>
          <t>财务核算</t>
        </is>
      </c>
      <c r="K29" t="inlineStr">
        <is>
          <t>对齐降本分成方案结算线</t>
        </is>
      </c>
    </row>
    <row r="30">
      <c r="A30" t="inlineStr">
        <is>
          <t>K27</t>
        </is>
      </c>
      <c r="B30" t="inlineStr">
        <is>
          <t>金炜铮</t>
        </is>
      </c>
      <c r="C30" t="inlineStr">
        <is>
          <t>团队</t>
        </is>
      </c>
      <c r="D30" t="inlineStr">
        <is>
          <t>三段结构</t>
        </is>
      </c>
      <c r="E30" t="inlineStr">
        <is>
          <t>三段综合</t>
        </is>
      </c>
      <c r="G30" t="inlineStr"/>
      <c r="H30" t="n">
        <v>20</v>
      </c>
      <c r="I30" t="inlineStr">
        <is>
          <t>头程实际 / 尾程实际 / 仓储实际</t>
        </is>
      </c>
      <c r="J30" t="inlineStr">
        <is>
          <t>财务核算</t>
        </is>
      </c>
      <c r="K30" t="inlineStr">
        <is>
          <t>15/15/6，各段得分平均</t>
        </is>
      </c>
    </row>
    <row r="31">
      <c r="A31" t="inlineStr">
        <is>
          <t>K28</t>
        </is>
      </c>
      <c r="B31" t="inlineStr">
        <is>
          <t>金炜铮</t>
        </is>
      </c>
      <c r="C31" t="inlineStr">
        <is>
          <t>团队</t>
        </is>
      </c>
      <c r="D31" t="inlineStr">
        <is>
          <t>团队请款及时率</t>
        </is>
      </c>
      <c r="E31" t="inlineStr">
        <is>
          <t>引用-请款均</t>
        </is>
      </c>
      <c r="G31" t="inlineStr"/>
      <c r="H31" t="n">
        <v>10</v>
      </c>
      <c r="I31" t="inlineStr"/>
      <c r="J31" t="inlineStr">
        <is>
          <t>全员请款线平均</t>
        </is>
      </c>
      <c r="K31" t="inlineStr">
        <is>
          <t>打分表内自动引用</t>
        </is>
      </c>
    </row>
    <row r="32">
      <c r="A32" t="inlineStr">
        <is>
          <t>K29</t>
        </is>
      </c>
      <c r="B32" t="inlineStr">
        <is>
          <t>金炜铮</t>
        </is>
      </c>
      <c r="C32" t="inlineStr">
        <is>
          <t>团队</t>
        </is>
      </c>
      <c r="D32" t="inlineStr">
        <is>
          <t>专员均分</t>
        </is>
      </c>
      <c r="E32" t="inlineStr">
        <is>
          <t>引用-专员均分</t>
        </is>
      </c>
      <c r="G32" t="inlineStr"/>
      <c r="H32" t="n">
        <v>10</v>
      </c>
      <c r="I32" t="inlineStr"/>
      <c r="J32" t="inlineStr">
        <is>
          <t>4位专员总分平均</t>
        </is>
      </c>
      <c r="K32" t="inlineStr">
        <is>
          <t>打分表内自动引用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0" customWidth="1" min="3" max="3"/>
    <col width="16" customWidth="1" min="4" max="4"/>
    <col width="10" customWidth="1" min="5" max="5"/>
    <col width="8" customWidth="1" min="6" max="6"/>
    <col width="8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8" customWidth="1" min="14" max="14"/>
    <col width="8" customWidth="1" min="15" max="15"/>
    <col width="9" customWidth="1" min="16" max="16"/>
  </cols>
  <sheetData>
    <row r="1">
      <c r="A1" t="inlineStr">
        <is>
          <t>绩效月份：</t>
        </is>
      </c>
      <c r="B1" t="inlineStr">
        <is>
          <t>2026-09</t>
        </is>
      </c>
      <c r="C1" t="inlineStr">
        <is>
          <t>复制本表命名为 打分-YYYY-MM；数据不可得选NA；原始数据见[指标标准]字段说明</t>
        </is>
      </c>
    </row>
    <row r="3">
      <c r="A3" s="3" t="inlineStr">
        <is>
          <t>指标ID</t>
        </is>
      </c>
      <c r="B3" s="3" t="inlineStr">
        <is>
          <t>人员</t>
        </is>
      </c>
      <c r="C3" s="3" t="inlineStr">
        <is>
          <t>业务线</t>
        </is>
      </c>
      <c r="D3" s="3" t="inlineStr">
        <is>
          <t>指标</t>
        </is>
      </c>
      <c r="E3" s="3" t="inlineStr">
        <is>
          <t>公式类型</t>
        </is>
      </c>
      <c r="F3" s="3" t="inlineStr">
        <is>
          <t>目标值</t>
        </is>
      </c>
      <c r="G3" s="3" t="inlineStr">
        <is>
          <t>单位</t>
        </is>
      </c>
      <c r="H3" s="3" t="inlineStr">
        <is>
          <t>数据可用</t>
        </is>
      </c>
      <c r="I3" s="3" t="inlineStr">
        <is>
          <t>原始1</t>
        </is>
      </c>
      <c r="J3" s="3" t="inlineStr">
        <is>
          <t>原始2</t>
        </is>
      </c>
      <c r="K3" s="3" t="inlineStr">
        <is>
          <t>原始3</t>
        </is>
      </c>
      <c r="L3" s="3" t="inlineStr">
        <is>
          <t>原始4</t>
        </is>
      </c>
      <c r="M3" s="3" t="inlineStr">
        <is>
          <t>指标得分</t>
        </is>
      </c>
      <c r="N3" s="3" t="inlineStr">
        <is>
          <t>全局权重</t>
        </is>
      </c>
      <c r="O3" s="3" t="inlineStr">
        <is>
          <t>有效权重</t>
        </is>
      </c>
      <c r="P3" s="3" t="inlineStr">
        <is>
          <t>加权分</t>
        </is>
      </c>
    </row>
    <row r="4">
      <c r="A4" t="inlineStr">
        <is>
          <t>K01</t>
        </is>
      </c>
      <c r="B4" t="inlineStr">
        <is>
          <t>吴佳钒</t>
        </is>
      </c>
      <c r="C4" t="inlineStr">
        <is>
          <t>DDP头程</t>
        </is>
      </c>
      <c r="D4" t="inlineStr">
        <is>
          <t>成本</t>
        </is>
      </c>
      <c r="E4" t="inlineStr">
        <is>
          <t>成本-计算</t>
        </is>
      </c>
      <c r="F4" t="n">
        <v>15</v>
      </c>
      <c r="G4" t="inlineStr">
        <is>
          <t>欧/台</t>
        </is>
      </c>
      <c r="H4" t="inlineStr">
        <is>
          <t>是</t>
        </is>
      </c>
      <c r="M4">
        <f>IFERROR(IF($H4&lt;&gt;"是","",IF(OR($I4=0,$I4=""),"",MIN(100,100*$F4/($J4/$I4)))),"")</f>
        <v/>
      </c>
      <c r="N4" t="n">
        <v>27</v>
      </c>
      <c r="O4">
        <f>IF(AND($H4="是",ISNUMBER($M4)),$N4,0)</f>
        <v/>
      </c>
      <c r="P4">
        <f>IF(ISNUMBER($M4),$M4*$O4,0)</f>
        <v/>
      </c>
    </row>
    <row r="5">
      <c r="A5" t="inlineStr">
        <is>
          <t>K02</t>
        </is>
      </c>
      <c r="B5" t="inlineStr">
        <is>
          <t>吴佳钒</t>
        </is>
      </c>
      <c r="C5" t="inlineStr">
        <is>
          <t>DDP头程</t>
        </is>
      </c>
      <c r="D5" t="inlineStr">
        <is>
          <t>时效</t>
        </is>
      </c>
      <c r="E5" t="inlineStr">
        <is>
          <t>达标率</t>
        </is>
      </c>
      <c r="F5" s="4" t="n"/>
      <c r="G5" t="inlineStr">
        <is>
          <t>%</t>
        </is>
      </c>
      <c r="H5" t="inlineStr">
        <is>
          <t>是</t>
        </is>
      </c>
      <c r="M5">
        <f>IFERROR(IF($H5&lt;&gt;"是","",IF(OR($J5=0,$J5=""),"",MIN(100,$I5/$J5*100))),"")</f>
        <v/>
      </c>
      <c r="N5" t="n">
        <v>18</v>
      </c>
      <c r="O5">
        <f>IF(AND($H5="是",ISNUMBER($M5)),$N5,0)</f>
        <v/>
      </c>
      <c r="P5">
        <f>IF(ISNUMBER($M5),$M5*$O5,0)</f>
        <v/>
      </c>
    </row>
    <row r="6">
      <c r="A6" t="inlineStr">
        <is>
          <t>K03</t>
        </is>
      </c>
      <c r="B6" t="inlineStr">
        <is>
          <t>吴佳钒</t>
        </is>
      </c>
      <c r="C6" t="inlineStr">
        <is>
          <t>始发计划</t>
        </is>
      </c>
      <c r="D6" t="inlineStr">
        <is>
          <t>缺货率</t>
        </is>
      </c>
      <c r="E6" t="inlineStr">
        <is>
          <t>上限</t>
        </is>
      </c>
      <c r="F6" s="4" t="n">
        <v>0.05</v>
      </c>
      <c r="G6" t="inlineStr">
        <is>
          <t>%</t>
        </is>
      </c>
      <c r="H6" t="inlineStr">
        <is>
          <t>是</t>
        </is>
      </c>
      <c r="I6" s="4" t="n"/>
      <c r="M6">
        <f>IFERROR(IF($H6&lt;&gt;"是","",IF($I6="","",IF($I6&lt;=$F6,100,100*$F6/$I6))),"")</f>
        <v/>
      </c>
      <c r="N6" t="n">
        <v>5</v>
      </c>
      <c r="O6">
        <f>IF(AND($H6="是",ISNUMBER($M6)),$N6,0)</f>
        <v/>
      </c>
      <c r="P6">
        <f>IF(ISNUMBER($M6),$M6*$O6,0)</f>
        <v/>
      </c>
    </row>
    <row r="7">
      <c r="A7" t="inlineStr">
        <is>
          <t>K04</t>
        </is>
      </c>
      <c r="B7" t="inlineStr">
        <is>
          <t>吴佳钒</t>
        </is>
      </c>
      <c r="C7" t="inlineStr">
        <is>
          <t>始发计划</t>
        </is>
      </c>
      <c r="D7" t="inlineStr">
        <is>
          <t>缺货时间</t>
        </is>
      </c>
      <c r="E7" t="inlineStr">
        <is>
          <t>上限</t>
        </is>
      </c>
      <c r="F7" t="n">
        <v>7</v>
      </c>
      <c r="G7" t="inlineStr">
        <is>
          <t>天</t>
        </is>
      </c>
      <c r="H7" t="inlineStr">
        <is>
          <t>是</t>
        </is>
      </c>
      <c r="M7">
        <f>IFERROR(IF($H7&lt;&gt;"是","",IF($I7="","",IF($I7&lt;=$F7,100,100*$F7/$I7))),"")</f>
        <v/>
      </c>
      <c r="N7" t="n">
        <v>5</v>
      </c>
      <c r="O7">
        <f>IF(AND($H7="是",ISNUMBER($M7)),$N7,0)</f>
        <v/>
      </c>
      <c r="P7">
        <f>IF(ISNUMBER($M7),$M7*$O7,0)</f>
        <v/>
      </c>
    </row>
    <row r="8">
      <c r="A8" t="inlineStr">
        <is>
          <t>K05</t>
        </is>
      </c>
      <c r="B8" t="inlineStr">
        <is>
          <t>吴佳钒</t>
        </is>
      </c>
      <c r="C8" t="inlineStr">
        <is>
          <t>在途库存</t>
        </is>
      </c>
      <c r="D8" t="inlineStr">
        <is>
          <t>上架准确率</t>
        </is>
      </c>
      <c r="E8" t="inlineStr">
        <is>
          <t>下限</t>
        </is>
      </c>
      <c r="F8" s="4" t="n">
        <v>0.95</v>
      </c>
      <c r="G8" t="inlineStr">
        <is>
          <t>%</t>
        </is>
      </c>
      <c r="H8" t="inlineStr">
        <is>
          <t>是</t>
        </is>
      </c>
      <c r="I8" s="4" t="n"/>
      <c r="M8">
        <f>IFERROR(IF($H8&lt;&gt;"是","",IF($I8="","",IF($I8&gt;=$F8,100,100*$I8/$F8))),"")</f>
        <v/>
      </c>
      <c r="N8" t="n">
        <v>5</v>
      </c>
      <c r="O8">
        <f>IF(AND($H8="是",ISNUMBER($M8)),$N8,0)</f>
        <v/>
      </c>
      <c r="P8">
        <f>IF(ISNUMBER($M8),$M8*$O8,0)</f>
        <v/>
      </c>
    </row>
    <row r="9">
      <c r="A9" t="inlineStr">
        <is>
          <t>K06</t>
        </is>
      </c>
      <c r="B9" t="inlineStr">
        <is>
          <t>吴佳钒</t>
        </is>
      </c>
      <c r="C9" t="inlineStr">
        <is>
          <t>财务</t>
        </is>
      </c>
      <c r="D9" t="inlineStr">
        <is>
          <t>请款-DDP</t>
        </is>
      </c>
      <c r="E9" t="inlineStr">
        <is>
          <t>请款</t>
        </is>
      </c>
      <c r="G9" t="inlineStr"/>
      <c r="H9" t="inlineStr">
        <is>
          <t>是</t>
        </is>
      </c>
      <c r="J9" s="4" t="n"/>
      <c r="M9">
        <f>IFERROR(IF($H9&lt;&gt;"是","",0.5*MAX(0,100-20*$I9)+0.5*MIN(100,$J9/0.9*100)),"")</f>
        <v/>
      </c>
      <c r="N9" t="n">
        <v>10</v>
      </c>
      <c r="O9">
        <f>IF(AND($H9="是",ISNUMBER($M9)),$N9,0)</f>
        <v/>
      </c>
      <c r="P9">
        <f>IF(ISNUMBER($M9),$M9*$O9,0)</f>
        <v/>
      </c>
    </row>
    <row r="10">
      <c r="A10" t="inlineStr">
        <is>
          <t>K07</t>
        </is>
      </c>
      <c r="B10" t="inlineStr">
        <is>
          <t>郑舒漫</t>
        </is>
      </c>
      <c r="C10" t="inlineStr">
        <is>
          <t>FOB</t>
        </is>
      </c>
      <c r="D10" t="inlineStr">
        <is>
          <t>单证准确率</t>
        </is>
      </c>
      <c r="E10" t="inlineStr">
        <is>
          <t>下限</t>
        </is>
      </c>
      <c r="F10" s="4" t="n">
        <v>1</v>
      </c>
      <c r="G10" t="inlineStr">
        <is>
          <t>%</t>
        </is>
      </c>
      <c r="H10" t="inlineStr">
        <is>
          <t>是</t>
        </is>
      </c>
      <c r="I10" s="4" t="n"/>
      <c r="M10">
        <f>IFERROR(IF($H10&lt;&gt;"是","",IF($I10="","",IF($I10&gt;=$F10,100,100*$I10/$F10))),"")</f>
        <v/>
      </c>
      <c r="N10" t="n">
        <v>15</v>
      </c>
      <c r="O10">
        <f>IF(AND($H10="是",ISNUMBER($M10)),$N10,0)</f>
        <v/>
      </c>
      <c r="P10">
        <f>IF(ISNUMBER($M10),$M10*$O10,0)</f>
        <v/>
      </c>
    </row>
    <row r="11">
      <c r="A11" t="inlineStr">
        <is>
          <t>K08</t>
        </is>
      </c>
      <c r="B11" t="inlineStr">
        <is>
          <t>郑舒漫</t>
        </is>
      </c>
      <c r="C11" t="inlineStr">
        <is>
          <t>FOB</t>
        </is>
      </c>
      <c r="D11" t="inlineStr">
        <is>
          <t>订舱及时率</t>
        </is>
      </c>
      <c r="E11" t="inlineStr">
        <is>
          <t>达标率</t>
        </is>
      </c>
      <c r="F11" s="4" t="n"/>
      <c r="G11" t="inlineStr">
        <is>
          <t>%</t>
        </is>
      </c>
      <c r="H11" t="inlineStr">
        <is>
          <t>是</t>
        </is>
      </c>
      <c r="M11">
        <f>IFERROR(IF($H11&lt;&gt;"是","",IF(OR($J11=0,$J11=""),"",MIN(100,$I11/$J11*100))),"")</f>
        <v/>
      </c>
      <c r="N11" t="n">
        <v>10</v>
      </c>
      <c r="O11">
        <f>IF(AND($H11="是",ISNUMBER($M11)),$N11,0)</f>
        <v/>
      </c>
      <c r="P11">
        <f>IF(ISNUMBER($M11),$M11*$O11,0)</f>
        <v/>
      </c>
    </row>
    <row r="12">
      <c r="A12" t="inlineStr">
        <is>
          <t>K09</t>
        </is>
      </c>
      <c r="B12" t="inlineStr">
        <is>
          <t>郑舒漫</t>
        </is>
      </c>
      <c r="C12" t="inlineStr">
        <is>
          <t>FCA</t>
        </is>
      </c>
      <c r="D12" t="inlineStr">
        <is>
          <t>执行时效</t>
        </is>
      </c>
      <c r="E12" t="inlineStr">
        <is>
          <t>达标率</t>
        </is>
      </c>
      <c r="F12" s="4" t="n"/>
      <c r="G12" t="inlineStr">
        <is>
          <t>%</t>
        </is>
      </c>
      <c r="H12" t="inlineStr">
        <is>
          <t>是</t>
        </is>
      </c>
      <c r="M12">
        <f>IFERROR(IF($H12&lt;&gt;"是","",IF(OR($J12=0,$J12=""),"",MIN(100,$I12/$J12*100))),"")</f>
        <v/>
      </c>
      <c r="N12" t="n">
        <v>25</v>
      </c>
      <c r="O12">
        <f>IF(AND($H12="是",ISNUMBER($M12)),$N12,0)</f>
        <v/>
      </c>
      <c r="P12">
        <f>IF(ISNUMBER($M12),$M12*$O12,0)</f>
        <v/>
      </c>
    </row>
    <row r="13">
      <c r="A13" t="inlineStr">
        <is>
          <t>K10</t>
        </is>
      </c>
      <c r="B13" t="inlineStr">
        <is>
          <t>郑舒漫</t>
        </is>
      </c>
      <c r="C13" t="inlineStr">
        <is>
          <t>财务</t>
        </is>
      </c>
      <c r="D13" t="inlineStr">
        <is>
          <t>请款-FOB</t>
        </is>
      </c>
      <c r="E13" t="inlineStr">
        <is>
          <t>请款</t>
        </is>
      </c>
      <c r="G13" t="inlineStr"/>
      <c r="H13" t="inlineStr">
        <is>
          <t>是</t>
        </is>
      </c>
      <c r="J13" s="4" t="n"/>
      <c r="M13">
        <f>IFERROR(IF($H13&lt;&gt;"是","",0.5*MAX(0,100-20*$I13)+0.5*MIN(100,$J13/0.9*100)),"")</f>
        <v/>
      </c>
      <c r="N13" t="n">
        <v>20</v>
      </c>
      <c r="O13">
        <f>IF(AND($H13="是",ISNUMBER($M13)),$N13,0)</f>
        <v/>
      </c>
      <c r="P13">
        <f>IF(ISNUMBER($M13),$M13*$O13,0)</f>
        <v/>
      </c>
    </row>
    <row r="14">
      <c r="A14" t="inlineStr">
        <is>
          <t>K11</t>
        </is>
      </c>
      <c r="B14" t="inlineStr">
        <is>
          <t>黄婷</t>
        </is>
      </c>
      <c r="C14" t="inlineStr">
        <is>
          <t>B端中转</t>
        </is>
      </c>
      <c r="D14" t="inlineStr">
        <is>
          <t>成本</t>
        </is>
      </c>
      <c r="E14" t="inlineStr">
        <is>
          <t>成本-计算</t>
        </is>
      </c>
      <c r="F14" t="n">
        <v>15</v>
      </c>
      <c r="G14" t="inlineStr">
        <is>
          <t>欧/台</t>
        </is>
      </c>
      <c r="H14" t="inlineStr">
        <is>
          <t>是</t>
        </is>
      </c>
      <c r="M14">
        <f>IFERROR(IF($H14&lt;&gt;"是","",IF(OR($I14=0,$I14=""),"",MIN(100,100*$F14/($J14/$I14)))),"")</f>
        <v/>
      </c>
      <c r="N14" t="n">
        <v>21</v>
      </c>
      <c r="O14">
        <f>IF(AND($H14="是",ISNUMBER($M14)),$N14,0)</f>
        <v/>
      </c>
      <c r="P14">
        <f>IF(ISNUMBER($M14),$M14*$O14,0)</f>
        <v/>
      </c>
    </row>
    <row r="15">
      <c r="A15" t="inlineStr">
        <is>
          <t>K12</t>
        </is>
      </c>
      <c r="B15" t="inlineStr">
        <is>
          <t>黄婷</t>
        </is>
      </c>
      <c r="C15" t="inlineStr">
        <is>
          <t>B端中转</t>
        </is>
      </c>
      <c r="D15" t="inlineStr">
        <is>
          <t>时效</t>
        </is>
      </c>
      <c r="E15" t="inlineStr">
        <is>
          <t>达标率</t>
        </is>
      </c>
      <c r="F15" s="4" t="n"/>
      <c r="G15" t="inlineStr">
        <is>
          <t>%</t>
        </is>
      </c>
      <c r="H15" t="inlineStr">
        <is>
          <t>是</t>
        </is>
      </c>
      <c r="M15">
        <f>IFERROR(IF($H15&lt;&gt;"是","",IF(OR($J15=0,$J15=""),"",MIN(100,$I15/$J15*100))),"")</f>
        <v/>
      </c>
      <c r="N15" t="n">
        <v>14</v>
      </c>
      <c r="O15">
        <f>IF(AND($H15="是",ISNUMBER($M15)),$N15,0)</f>
        <v/>
      </c>
      <c r="P15">
        <f>IF(ISNUMBER($M15),$M15*$O15,0)</f>
        <v/>
      </c>
    </row>
    <row r="16">
      <c r="A16" t="inlineStr">
        <is>
          <t>K13</t>
        </is>
      </c>
      <c r="B16" t="inlineStr">
        <is>
          <t>黄婷</t>
        </is>
      </c>
      <c r="C16" t="inlineStr">
        <is>
          <t>目的国计划</t>
        </is>
      </c>
      <c r="D16" t="inlineStr">
        <is>
          <t>缺货率</t>
        </is>
      </c>
      <c r="E16" t="inlineStr">
        <is>
          <t>上限</t>
        </is>
      </c>
      <c r="F16" s="4" t="n">
        <v>0.05</v>
      </c>
      <c r="G16" t="inlineStr">
        <is>
          <t>%</t>
        </is>
      </c>
      <c r="H16" t="inlineStr">
        <is>
          <t>是</t>
        </is>
      </c>
      <c r="I16" s="4" t="n"/>
      <c r="M16">
        <f>IFERROR(IF($H16&lt;&gt;"是","",IF($I16="","",IF($I16&lt;=$F16,100,100*$F16/$I16))),"")</f>
        <v/>
      </c>
      <c r="N16" t="n">
        <v>5</v>
      </c>
      <c r="O16">
        <f>IF(AND($H16="是",ISNUMBER($M16)),$N16,0)</f>
        <v/>
      </c>
      <c r="P16">
        <f>IF(ISNUMBER($M16),$M16*$O16,0)</f>
        <v/>
      </c>
    </row>
    <row r="17">
      <c r="A17" t="inlineStr">
        <is>
          <t>K14</t>
        </is>
      </c>
      <c r="B17" t="inlineStr">
        <is>
          <t>黄婷</t>
        </is>
      </c>
      <c r="C17" t="inlineStr">
        <is>
          <t>目的国计划</t>
        </is>
      </c>
      <c r="D17" t="inlineStr">
        <is>
          <t>缺货时间</t>
        </is>
      </c>
      <c r="E17" t="inlineStr">
        <is>
          <t>上限</t>
        </is>
      </c>
      <c r="F17" t="n">
        <v>7</v>
      </c>
      <c r="G17" t="inlineStr">
        <is>
          <t>天</t>
        </is>
      </c>
      <c r="H17" t="inlineStr">
        <is>
          <t>是</t>
        </is>
      </c>
      <c r="M17">
        <f>IFERROR(IF($H17&lt;&gt;"是","",IF($I17="","",IF($I17&lt;=$F17,100,100*$F17/$I17))),"")</f>
        <v/>
      </c>
      <c r="N17" t="n">
        <v>5</v>
      </c>
      <c r="O17">
        <f>IF(AND($H17="是",ISNUMBER($M17)),$N17,0)</f>
        <v/>
      </c>
      <c r="P17">
        <f>IF(ISNUMBER($M17),$M17*$O17,0)</f>
        <v/>
      </c>
    </row>
    <row r="18">
      <c r="A18" t="inlineStr">
        <is>
          <t>K15</t>
        </is>
      </c>
      <c r="B18" t="inlineStr">
        <is>
          <t>黄婷</t>
        </is>
      </c>
      <c r="C18" t="inlineStr">
        <is>
          <t>B端库存</t>
        </is>
      </c>
      <c r="D18" t="inlineStr">
        <is>
          <t>综合</t>
        </is>
      </c>
      <c r="E18" t="inlineStr">
        <is>
          <t>库存综合</t>
        </is>
      </c>
      <c r="G18" t="inlineStr"/>
      <c r="H18" t="inlineStr">
        <is>
          <t>是</t>
        </is>
      </c>
      <c r="M18">
        <f>IFERROR(IF($H18&lt;&gt;"是","",IFERROR(AVERAGE(IF($I18&lt;=0.03,100,100*0.03/$I18),IF($J18&lt;=120,100,100*120/$J18),IF($K18&lt;=5,100,100*5/$K18)),"")),"")</f>
        <v/>
      </c>
      <c r="N18" t="n">
        <v>10</v>
      </c>
      <c r="O18">
        <f>IF(AND($H18="是",ISNUMBER($M18)),$N18,0)</f>
        <v/>
      </c>
      <c r="P18">
        <f>IF(ISNUMBER($M18),$M18*$O18,0)</f>
        <v/>
      </c>
    </row>
    <row r="19">
      <c r="A19" t="inlineStr">
        <is>
          <t>K16</t>
        </is>
      </c>
      <c r="B19" t="inlineStr">
        <is>
          <t>黄婷</t>
        </is>
      </c>
      <c r="C19" t="inlineStr">
        <is>
          <t>财务</t>
        </is>
      </c>
      <c r="D19" t="inlineStr">
        <is>
          <t>请款-B端仓库内</t>
        </is>
      </c>
      <c r="E19" t="inlineStr">
        <is>
          <t>请款</t>
        </is>
      </c>
      <c r="G19" t="inlineStr"/>
      <c r="H19" t="inlineStr">
        <is>
          <t>是</t>
        </is>
      </c>
      <c r="J19" s="4" t="n"/>
      <c r="M19">
        <f>IFERROR(IF($H19&lt;&gt;"是","",0.5*MAX(0,100-20*$I19)+0.5*MIN(100,$J19/0.9*100)),"")</f>
        <v/>
      </c>
      <c r="N19" t="n">
        <v>7.5</v>
      </c>
      <c r="O19">
        <f>IF(AND($H19="是",ISNUMBER($M19)),$N19,0)</f>
        <v/>
      </c>
      <c r="P19">
        <f>IF(ISNUMBER($M19),$M19*$O19,0)</f>
        <v/>
      </c>
    </row>
    <row r="20">
      <c r="A20" t="inlineStr">
        <is>
          <t>K17</t>
        </is>
      </c>
      <c r="B20" t="inlineStr">
        <is>
          <t>黄婷</t>
        </is>
      </c>
      <c r="C20" t="inlineStr">
        <is>
          <t>财务</t>
        </is>
      </c>
      <c r="D20" t="inlineStr">
        <is>
          <t>请款-海外仓调拨</t>
        </is>
      </c>
      <c r="E20" t="inlineStr">
        <is>
          <t>请款</t>
        </is>
      </c>
      <c r="G20" t="inlineStr"/>
      <c r="H20" t="inlineStr">
        <is>
          <t>是</t>
        </is>
      </c>
      <c r="J20" s="4" t="n"/>
      <c r="M20">
        <f>IFERROR(IF($H20&lt;&gt;"是","",0.5*MAX(0,100-20*$I20)+0.5*MIN(100,$J20/0.9*100)),"")</f>
        <v/>
      </c>
      <c r="N20" t="n">
        <v>7.5</v>
      </c>
      <c r="O20">
        <f>IF(AND($H20="是",ISNUMBER($M20)),$N20,0)</f>
        <v/>
      </c>
      <c r="P20">
        <f>IF(ISNUMBER($M20),$M20*$O20,0)</f>
        <v/>
      </c>
    </row>
    <row r="21">
      <c r="A21" t="inlineStr">
        <is>
          <t>K18</t>
        </is>
      </c>
      <c r="B21" t="inlineStr">
        <is>
          <t>吴定佳</t>
        </is>
      </c>
      <c r="C21" t="inlineStr">
        <is>
          <t>一件代发</t>
        </is>
      </c>
      <c r="D21" t="inlineStr">
        <is>
          <t>成本</t>
        </is>
      </c>
      <c r="E21" t="inlineStr">
        <is>
          <t>成本-计算</t>
        </is>
      </c>
      <c r="F21" t="n">
        <v>15</v>
      </c>
      <c r="G21" t="inlineStr">
        <is>
          <t>欧/台</t>
        </is>
      </c>
      <c r="H21" t="inlineStr">
        <is>
          <t>是</t>
        </is>
      </c>
      <c r="M21">
        <f>IFERROR(IF($H21&lt;&gt;"是","",IF(OR($I21=0,$I21=""),"",MIN(100,100*$F21/($J21/$I21)))),"")</f>
        <v/>
      </c>
      <c r="N21" t="n">
        <v>24</v>
      </c>
      <c r="O21">
        <f>IF(AND($H21="是",ISNUMBER($M21)),$N21,0)</f>
        <v/>
      </c>
      <c r="P21">
        <f>IF(ISNUMBER($M21),$M21*$O21,0)</f>
        <v/>
      </c>
    </row>
    <row r="22">
      <c r="A22" t="inlineStr">
        <is>
          <t>K19</t>
        </is>
      </c>
      <c r="B22" t="inlineStr">
        <is>
          <t>吴定佳</t>
        </is>
      </c>
      <c r="C22" t="inlineStr">
        <is>
          <t>一件代发</t>
        </is>
      </c>
      <c r="D22" t="inlineStr">
        <is>
          <t>时效</t>
        </is>
      </c>
      <c r="E22" t="inlineStr">
        <is>
          <t>达标率</t>
        </is>
      </c>
      <c r="F22" s="4" t="n"/>
      <c r="G22" t="inlineStr">
        <is>
          <t>%</t>
        </is>
      </c>
      <c r="H22" t="inlineStr">
        <is>
          <t>是</t>
        </is>
      </c>
      <c r="M22">
        <f>IFERROR(IF($H22&lt;&gt;"是","",IF(OR($J22=0,$J22=""),"",MIN(100,$I22/$J22*100))),"")</f>
        <v/>
      </c>
      <c r="N22" t="n">
        <v>16</v>
      </c>
      <c r="O22">
        <f>IF(AND($H22="是",ISNUMBER($M22)),$N22,0)</f>
        <v/>
      </c>
      <c r="P22">
        <f>IF(ISNUMBER($M22),$M22*$O22,0)</f>
        <v/>
      </c>
    </row>
    <row r="23">
      <c r="A23" t="inlineStr">
        <is>
          <t>K20</t>
        </is>
      </c>
      <c r="B23" t="inlineStr">
        <is>
          <t>吴定佳</t>
        </is>
      </c>
      <c r="C23" t="inlineStr">
        <is>
          <t>售后物流</t>
        </is>
      </c>
      <c r="D23" t="inlineStr">
        <is>
          <t>退件率</t>
        </is>
      </c>
      <c r="E23" t="inlineStr">
        <is>
          <t>上限</t>
        </is>
      </c>
      <c r="F23" s="4" t="n">
        <v>0.02</v>
      </c>
      <c r="G23" t="inlineStr">
        <is>
          <t>%</t>
        </is>
      </c>
      <c r="H23" t="inlineStr">
        <is>
          <t>是</t>
        </is>
      </c>
      <c r="I23" s="4" t="n"/>
      <c r="M23">
        <f>IFERROR(IF($H23&lt;&gt;"是","",IF($I23="","",IF($I23&lt;=$F23,100,100*$F23/$I23))),"")</f>
        <v/>
      </c>
      <c r="N23" t="n">
        <v>10</v>
      </c>
      <c r="O23">
        <f>IF(AND($H23="是",ISNUMBER($M23)),$N23,0)</f>
        <v/>
      </c>
      <c r="P23">
        <f>IF(ISNUMBER($M23),$M23*$O23,0)</f>
        <v/>
      </c>
    </row>
    <row r="24">
      <c r="A24" t="inlineStr">
        <is>
          <t>K21</t>
        </is>
      </c>
      <c r="B24" t="inlineStr">
        <is>
          <t>吴定佳</t>
        </is>
      </c>
      <c r="C24" t="inlineStr">
        <is>
          <t>C端库存</t>
        </is>
      </c>
      <c r="D24" t="inlineStr">
        <is>
          <t>综合</t>
        </is>
      </c>
      <c r="E24" t="inlineStr">
        <is>
          <t>库存综合</t>
        </is>
      </c>
      <c r="G24" t="inlineStr"/>
      <c r="H24" t="inlineStr">
        <is>
          <t>是</t>
        </is>
      </c>
      <c r="M24">
        <f>IFERROR(IF($H24&lt;&gt;"是","",IFERROR(AVERAGE(IF($I24&lt;=0.03,100,100*0.03/$I24),IF($J24&lt;=120,100,100*120/$J24),IF($K24&lt;=5,100,100*5/$K24)),"")),"")</f>
        <v/>
      </c>
      <c r="N24" t="n">
        <v>10</v>
      </c>
      <c r="O24">
        <f>IF(AND($H24="是",ISNUMBER($M24)),$N24,0)</f>
        <v/>
      </c>
      <c r="P24">
        <f>IF(ISNUMBER($M24),$M24*$O24,0)</f>
        <v/>
      </c>
    </row>
    <row r="25">
      <c r="A25" t="inlineStr">
        <is>
          <t>K22</t>
        </is>
      </c>
      <c r="B25" t="inlineStr">
        <is>
          <t>吴定佳</t>
        </is>
      </c>
      <c r="C25" t="inlineStr">
        <is>
          <t>财务</t>
        </is>
      </c>
      <c r="D25" t="inlineStr">
        <is>
          <t>请款-C端仓库内</t>
        </is>
      </c>
      <c r="E25" t="inlineStr">
        <is>
          <t>请款</t>
        </is>
      </c>
      <c r="G25" t="inlineStr"/>
      <c r="H25" t="inlineStr">
        <is>
          <t>是</t>
        </is>
      </c>
      <c r="J25" s="4" t="n"/>
      <c r="M25">
        <f>IFERROR(IF($H25&lt;&gt;"是","",0.5*MAX(0,100-20*$I25)+0.5*MIN(100,$J25/0.9*100)),"")</f>
        <v/>
      </c>
      <c r="N25" t="n">
        <v>10</v>
      </c>
      <c r="O25">
        <f>IF(AND($H25="是",ISNUMBER($M25)),$N25,0)</f>
        <v/>
      </c>
      <c r="P25">
        <f>IF(ISNUMBER($M25),$M25*$O25,0)</f>
        <v/>
      </c>
    </row>
    <row r="26">
      <c r="A26" t="inlineStr">
        <is>
          <t>K23</t>
        </is>
      </c>
      <c r="B26" t="inlineStr">
        <is>
          <t>张雨洁</t>
        </is>
      </c>
      <c r="C26" t="inlineStr">
        <is>
          <t>特殊发运</t>
        </is>
      </c>
      <c r="D26" t="inlineStr">
        <is>
          <t>时效</t>
        </is>
      </c>
      <c r="E26" t="inlineStr">
        <is>
          <t>达标率</t>
        </is>
      </c>
      <c r="F26" s="4" t="n"/>
      <c r="G26" t="inlineStr">
        <is>
          <t>%</t>
        </is>
      </c>
      <c r="H26" t="inlineStr">
        <is>
          <t>是</t>
        </is>
      </c>
      <c r="M26">
        <f>IFERROR(IF($H26&lt;&gt;"是","",IF(OR($J26=0,$J26=""),"",MIN(100,$I26/$J26*100))),"")</f>
        <v/>
      </c>
      <c r="N26" t="n">
        <v>40</v>
      </c>
      <c r="O26">
        <f>IF(AND($H26="是",ISNUMBER($M26)),$N26,0)</f>
        <v/>
      </c>
      <c r="P26">
        <f>IF(ISNUMBER($M26),$M26*$O26,0)</f>
        <v/>
      </c>
    </row>
    <row r="27">
      <c r="A27" t="inlineStr">
        <is>
          <t>K24</t>
        </is>
      </c>
      <c r="B27" t="inlineStr">
        <is>
          <t>张雨洁</t>
        </is>
      </c>
      <c r="C27" t="inlineStr">
        <is>
          <t>进口业务</t>
        </is>
      </c>
      <c r="D27" t="inlineStr">
        <is>
          <t>时效</t>
        </is>
      </c>
      <c r="E27" t="inlineStr">
        <is>
          <t>达标率</t>
        </is>
      </c>
      <c r="F27" s="4" t="n"/>
      <c r="G27" t="inlineStr">
        <is>
          <t>%</t>
        </is>
      </c>
      <c r="H27" t="inlineStr">
        <is>
          <t>是</t>
        </is>
      </c>
      <c r="M27">
        <f>IFERROR(IF($H27&lt;&gt;"是","",IF(OR($J27=0,$J27=""),"",MIN(100,$I27/$J27*100))),"")</f>
        <v/>
      </c>
      <c r="N27" t="n">
        <v>20</v>
      </c>
      <c r="O27">
        <f>IF(AND($H27="是",ISNUMBER($M27)),$N27,0)</f>
        <v/>
      </c>
      <c r="P27">
        <f>IF(ISNUMBER($M27),$M27*$O27,0)</f>
        <v/>
      </c>
    </row>
    <row r="28">
      <c r="A28" t="inlineStr">
        <is>
          <t>K25</t>
        </is>
      </c>
      <c r="B28" t="inlineStr">
        <is>
          <t>张雨洁</t>
        </is>
      </c>
      <c r="C28" t="inlineStr">
        <is>
          <t>财务</t>
        </is>
      </c>
      <c r="D28" t="inlineStr">
        <is>
          <t>账单协同-请款</t>
        </is>
      </c>
      <c r="E28" t="inlineStr">
        <is>
          <t>请款</t>
        </is>
      </c>
      <c r="G28" t="inlineStr"/>
      <c r="H28" t="inlineStr">
        <is>
          <t>是</t>
        </is>
      </c>
      <c r="J28" s="4" t="n"/>
      <c r="M28">
        <f>IFERROR(IF($H28&lt;&gt;"是","",0.5*MAX(0,100-20*$I28)+0.5*MIN(100,$J28/0.9*100)),"")</f>
        <v/>
      </c>
      <c r="N28" t="n">
        <v>10</v>
      </c>
      <c r="O28">
        <f>IF(AND($H28="是",ISNUMBER($M28)),$N28,0)</f>
        <v/>
      </c>
      <c r="P28">
        <f>IF(ISNUMBER($M28),$M28*$O28,0)</f>
        <v/>
      </c>
    </row>
    <row r="29">
      <c r="A29" t="inlineStr">
        <is>
          <t>K26</t>
        </is>
      </c>
      <c r="B29" t="inlineStr">
        <is>
          <t>金炜铮</t>
        </is>
      </c>
      <c r="C29" t="inlineStr">
        <is>
          <t>团队</t>
        </is>
      </c>
      <c r="D29" t="inlineStr">
        <is>
          <t>单台总成本</t>
        </is>
      </c>
      <c r="E29" t="inlineStr">
        <is>
          <t>成本-直填</t>
        </is>
      </c>
      <c r="F29" t="n">
        <v>36</v>
      </c>
      <c r="G29" t="inlineStr">
        <is>
          <t>欧/台</t>
        </is>
      </c>
      <c r="H29" t="inlineStr">
        <is>
          <t>是</t>
        </is>
      </c>
      <c r="M29">
        <f>IFERROR(IF($H29&lt;&gt;"是","",IF($I29="","",MIN(100,100*$F29/$I29))),"")</f>
        <v/>
      </c>
      <c r="N29" t="n">
        <v>30</v>
      </c>
      <c r="O29">
        <f>IF(AND($H29="是",ISNUMBER($M29)),$N29,0)</f>
        <v/>
      </c>
      <c r="P29">
        <f>IF(ISNUMBER($M29),$M29*$O29,0)</f>
        <v/>
      </c>
    </row>
    <row r="30">
      <c r="A30" t="inlineStr">
        <is>
          <t>K27</t>
        </is>
      </c>
      <c r="B30" t="inlineStr">
        <is>
          <t>金炜铮</t>
        </is>
      </c>
      <c r="C30" t="inlineStr">
        <is>
          <t>团队</t>
        </is>
      </c>
      <c r="D30" t="inlineStr">
        <is>
          <t>三段结构</t>
        </is>
      </c>
      <c r="E30" t="inlineStr">
        <is>
          <t>三段综合</t>
        </is>
      </c>
      <c r="G30" t="inlineStr"/>
      <c r="H30" t="inlineStr">
        <is>
          <t>是</t>
        </is>
      </c>
      <c r="M30">
        <f>IFERROR(IF($H30&lt;&gt;"是","",IFERROR(AVERAGE(MIN(100,100*15/$I30),MIN(100,100*15/$J30),MIN(100,100*6/$K30)),"")),"")</f>
        <v/>
      </c>
      <c r="N30" t="n">
        <v>20</v>
      </c>
      <c r="O30">
        <f>IF(AND($H30="是",ISNUMBER($M30)),$N30,0)</f>
        <v/>
      </c>
      <c r="P30">
        <f>IF(ISNUMBER($M30),$M30*$O30,0)</f>
        <v/>
      </c>
    </row>
    <row r="31">
      <c r="A31" t="inlineStr">
        <is>
          <t>K28</t>
        </is>
      </c>
      <c r="B31" t="inlineStr">
        <is>
          <t>金炜铮</t>
        </is>
      </c>
      <c r="C31" t="inlineStr">
        <is>
          <t>团队</t>
        </is>
      </c>
      <c r="D31" t="inlineStr">
        <is>
          <t>团队请款及时率</t>
        </is>
      </c>
      <c r="E31" t="inlineStr">
        <is>
          <t>引用-请款均</t>
        </is>
      </c>
      <c r="G31" t="inlineStr"/>
      <c r="H31" t="inlineStr">
        <is>
          <t>是</t>
        </is>
      </c>
      <c r="M31">
        <f>IFERROR(IF($H31&lt;&gt;"是","",IFERROR(AVERAGE($M$9,$M$13,$M$19,$M$20,$M$25,$M$28),"")),"")</f>
        <v/>
      </c>
      <c r="N31" t="n">
        <v>10</v>
      </c>
      <c r="O31">
        <f>IF(AND($H31="是",ISNUMBER($M31)),$N31,0)</f>
        <v/>
      </c>
      <c r="P31">
        <f>IF(ISNUMBER($M31),$M31*$O31,0)</f>
        <v/>
      </c>
    </row>
    <row r="32">
      <c r="A32" t="inlineStr">
        <is>
          <t>K29</t>
        </is>
      </c>
      <c r="B32" t="inlineStr">
        <is>
          <t>金炜铮</t>
        </is>
      </c>
      <c r="C32" t="inlineStr">
        <is>
          <t>团队</t>
        </is>
      </c>
      <c r="D32" t="inlineStr">
        <is>
          <t>专员均分</t>
        </is>
      </c>
      <c r="E32" t="inlineStr">
        <is>
          <t>引用-专员均分</t>
        </is>
      </c>
      <c r="G32" t="inlineStr"/>
      <c r="H32" t="inlineStr">
        <is>
          <t>是</t>
        </is>
      </c>
      <c r="M32">
        <f>IFERROR(IF($H32&lt;&gt;"是","",IFERROR(AVERAGE($F$39:$F$42),"")),"")</f>
        <v/>
      </c>
      <c r="N32" t="n">
        <v>10</v>
      </c>
      <c r="O32">
        <f>IF(AND($H32="是",ISNUMBER($M32)),$N32,0)</f>
        <v/>
      </c>
      <c r="P32">
        <f>IF(ISNUMBER($M32),$M32*$O32,0)</f>
        <v/>
      </c>
    </row>
    <row r="34">
      <c r="A34" s="2" t="inlineStr">
        <is>
          <t>监控区（不计分，只显示）——不可控但重要</t>
        </is>
      </c>
    </row>
    <row r="35">
      <c r="A35" t="inlineStr">
        <is>
          <t>M01</t>
        </is>
      </c>
      <c r="B35" t="inlineStr">
        <is>
          <t>郑舒漫</t>
        </is>
      </c>
      <c r="C35" t="inlineStr">
        <is>
          <t>FOB</t>
        </is>
      </c>
      <c r="D35" t="inlineStr">
        <is>
          <t>截关装船准时率</t>
        </is>
      </c>
      <c r="E35" t="inlineStr">
        <is>
          <t>达标率</t>
        </is>
      </c>
      <c r="H35" t="inlineStr">
        <is>
          <t>是</t>
        </is>
      </c>
      <c r="M35">
        <f>IF($H35&lt;&gt;"是","",IF(OR($J35=0,$J35=""),"",MIN(100,$I35/$J35*100)))</f>
        <v/>
      </c>
      <c r="N35" t="inlineStr">
        <is>
          <t>—</t>
        </is>
      </c>
    </row>
    <row r="37">
      <c r="A37" s="1" t="inlineStr">
        <is>
          <t>个人总分区（自动计算）</t>
        </is>
      </c>
    </row>
    <row r="38">
      <c r="A38" s="3" t="inlineStr">
        <is>
          <t>人员</t>
        </is>
      </c>
      <c r="B38" s="3" t="inlineStr">
        <is>
          <t>量化有效权重和</t>
        </is>
      </c>
      <c r="C38" s="3" t="inlineStr">
        <is>
          <t>量化加权分和</t>
        </is>
      </c>
      <c r="D38" s="3" t="inlineStr">
        <is>
          <t>任务块得分</t>
        </is>
      </c>
      <c r="E38" s="3" t="inlineStr">
        <is>
          <t>数据覆盖率</t>
        </is>
      </c>
      <c r="F38" s="3" t="inlineStr">
        <is>
          <t>总分</t>
        </is>
      </c>
    </row>
    <row r="39">
      <c r="A39" t="inlineStr">
        <is>
          <t>吴佳钒</t>
        </is>
      </c>
      <c r="B39">
        <f>SUM($O$4:$O$9)</f>
        <v/>
      </c>
      <c r="C39">
        <f>SUM($P$4:$P$9)</f>
        <v/>
      </c>
      <c r="D39">
        <f>IFERROR(AVERAGEIFS(任务块!$E:$E,任务块!$B:$B,$A39,任务块!$A:$A,$B$1),"")</f>
        <v/>
      </c>
      <c r="E39" s="5">
        <f>B39/70</f>
        <v/>
      </c>
      <c r="F39">
        <f>IFERROR((C39+IF(ISNUMBER(D39),D39*30,0))/(B39+IF(ISNUMBER(D39),30,0)),"")</f>
        <v/>
      </c>
    </row>
    <row r="40">
      <c r="A40" t="inlineStr">
        <is>
          <t>郑舒漫</t>
        </is>
      </c>
      <c r="B40">
        <f>SUM($O$10:$O$13)</f>
        <v/>
      </c>
      <c r="C40">
        <f>SUM($P$10:$P$13)</f>
        <v/>
      </c>
      <c r="D40">
        <f>IFERROR(AVERAGEIFS(任务块!$E:$E,任务块!$B:$B,$A40,任务块!$A:$A,$B$1),"")</f>
        <v/>
      </c>
      <c r="E40" s="5">
        <f>B40/70</f>
        <v/>
      </c>
      <c r="F40">
        <f>IFERROR((C40+IF(ISNUMBER(D40),D40*30,0))/(B40+IF(ISNUMBER(D40),30,0)),"")</f>
        <v/>
      </c>
    </row>
    <row r="41">
      <c r="A41" t="inlineStr">
        <is>
          <t>黄婷</t>
        </is>
      </c>
      <c r="B41">
        <f>SUM($O$14:$O$20)</f>
        <v/>
      </c>
      <c r="C41">
        <f>SUM($P$14:$P$20)</f>
        <v/>
      </c>
      <c r="D41">
        <f>IFERROR(AVERAGEIFS(任务块!$E:$E,任务块!$B:$B,$A41,任务块!$A:$A,$B$1),"")</f>
        <v/>
      </c>
      <c r="E41" s="5">
        <f>B41/70</f>
        <v/>
      </c>
      <c r="F41">
        <f>IFERROR((C41+IF(ISNUMBER(D41),D41*30,0))/(B41+IF(ISNUMBER(D41),30,0)),"")</f>
        <v/>
      </c>
    </row>
    <row r="42">
      <c r="A42" t="inlineStr">
        <is>
          <t>吴定佳</t>
        </is>
      </c>
      <c r="B42">
        <f>SUM($O$21:$O$25)</f>
        <v/>
      </c>
      <c r="C42">
        <f>SUM($P$21:$P$25)</f>
        <v/>
      </c>
      <c r="D42">
        <f>IFERROR(AVERAGEIFS(任务块!$E:$E,任务块!$B:$B,$A42,任务块!$A:$A,$B$1),"")</f>
        <v/>
      </c>
      <c r="E42" s="5">
        <f>B42/70</f>
        <v/>
      </c>
      <c r="F42">
        <f>IFERROR((C42+IF(ISNUMBER(D42),D42*30,0))/(B42+IF(ISNUMBER(D42),30,0)),"")</f>
        <v/>
      </c>
    </row>
    <row r="43">
      <c r="A43" t="inlineStr">
        <is>
          <t>张雨洁</t>
        </is>
      </c>
      <c r="B43">
        <f>SUM($O$26:$O$28)</f>
        <v/>
      </c>
      <c r="C43">
        <f>SUM($P$26:$P$28)</f>
        <v/>
      </c>
      <c r="D43">
        <f>IFERROR(AVERAGEIFS(任务块!$E:$E,任务块!$B:$B,$A43,任务块!$A:$A,$B$1),"")</f>
        <v/>
      </c>
      <c r="E43" s="5">
        <f>B43/70</f>
        <v/>
      </c>
      <c r="F43">
        <f>IFERROR((C43+IF(ISNUMBER(D43),D43*30,0))/(B43+IF(ISNUMBER(D43),30,0)),"")</f>
        <v/>
      </c>
    </row>
    <row r="44">
      <c r="A44" t="inlineStr">
        <is>
          <t>金炜铮</t>
        </is>
      </c>
      <c r="B44">
        <f>SUM($O$29:$O$32)</f>
        <v/>
      </c>
      <c r="C44">
        <f>SUM($P$29:$P$32)</f>
        <v/>
      </c>
      <c r="D44">
        <f>IFERROR(AVERAGEIFS(任务块!$E:$E,任务块!$B:$B,$A44,任务块!$A:$A,$B$1),"")</f>
        <v/>
      </c>
      <c r="E44" s="5">
        <f>B44/70</f>
        <v/>
      </c>
      <c r="F44">
        <f>IFERROR((C44+IF(ISNUMBER(D44),D44*30,0))/(B44+IF(ISNUMBER(D44),30,0)),"")</f>
        <v/>
      </c>
    </row>
  </sheetData>
  <dataValidations count="1">
    <dataValidation sqref="H4:H32" showDropDown="0" showInputMessage="0" showErrorMessage="0" allowBlank="1" type="list">
      <formula1>"是,NA"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40" customWidth="1" min="3" max="3"/>
    <col width="46" customWidth="1" min="4" max="4"/>
    <col width="8" customWidth="1" min="5" max="5"/>
  </cols>
  <sheetData>
    <row r="1">
      <c r="A1" s="1" t="inlineStr">
        <is>
          <t>任务块（每人每月3-5条，验收物必须可判定；0/50/100=未启动/进行中/完成）</t>
        </is>
      </c>
    </row>
    <row r="3">
      <c r="A3" s="3" t="inlineStr">
        <is>
          <t>月份</t>
        </is>
      </c>
      <c r="B3" s="3" t="inlineStr">
        <is>
          <t>姓名</t>
        </is>
      </c>
      <c r="C3" s="3" t="inlineStr">
        <is>
          <t>任务内容</t>
        </is>
      </c>
      <c r="D3" s="3" t="inlineStr">
        <is>
          <t>验收物</t>
        </is>
      </c>
      <c r="E3" s="3" t="inlineStr">
        <is>
          <t>得分</t>
        </is>
      </c>
    </row>
    <row r="4">
      <c r="A4" t="inlineStr">
        <is>
          <t>2026-09</t>
        </is>
      </c>
      <c r="B4" t="inlineStr">
        <is>
          <t>吴佳钒</t>
        </is>
      </c>
      <c r="C4" t="inlineStr">
        <is>
          <t>DDP头程交接平稳</t>
        </is>
      </c>
      <c r="D4" t="inlineStr">
        <is>
          <t>当月零错发（头程大表核对）</t>
        </is>
      </c>
    </row>
    <row r="5">
      <c r="A5" t="inlineStr">
        <is>
          <t>2026-09</t>
        </is>
      </c>
      <c r="B5" t="inlineStr">
        <is>
          <t>吴佳钒</t>
        </is>
      </c>
      <c r="C5" t="inlineStr">
        <is>
          <t>易仓货件数据打通</t>
        </is>
      </c>
      <c r="D5" t="inlineStr">
        <is>
          <t>易仓导出口径文档+首月数据回填</t>
        </is>
      </c>
    </row>
    <row r="6">
      <c r="A6" t="inlineStr">
        <is>
          <t>2026-09</t>
        </is>
      </c>
      <c r="B6" t="inlineStr">
        <is>
          <t>郑舒漫</t>
        </is>
      </c>
      <c r="C6" t="inlineStr">
        <is>
          <t>FOB货代台账上线</t>
        </is>
      </c>
      <c r="D6" t="inlineStr">
        <is>
          <t>台账含单证+订舱时效字段、近3个月数据</t>
        </is>
      </c>
    </row>
    <row r="7">
      <c r="A7" t="inlineStr">
        <is>
          <t>2026-09</t>
        </is>
      </c>
      <c r="B7" t="inlineStr">
        <is>
          <t>黄婷</t>
        </is>
      </c>
      <c r="C7" t="inlineStr">
        <is>
          <t>B端库存三项指标基线摸底</t>
        </is>
      </c>
      <c r="D7" t="inlineStr">
        <is>
          <t>各仓长周期/库龄/库内成本基线表</t>
        </is>
      </c>
    </row>
    <row r="8">
      <c r="A8" t="inlineStr">
        <is>
          <t>2026-09</t>
        </is>
      </c>
      <c r="B8" t="inlineStr">
        <is>
          <t>吴定佳</t>
        </is>
      </c>
      <c r="C8" t="inlineStr">
        <is>
          <t>一件代发时效分段标准定稿</t>
        </is>
      </c>
      <c r="D8" t="inlineStr">
        <is>
          <t>打包/运输分段标准文档，主管签认</t>
        </is>
      </c>
    </row>
    <row r="9">
      <c r="A9" t="inlineStr">
        <is>
          <t>2026-09</t>
        </is>
      </c>
      <c r="B9" t="inlineStr">
        <is>
          <t>张雨洁</t>
        </is>
      </c>
      <c r="C9" t="inlineStr">
        <is>
          <t>进口时效分段标准整理</t>
        </is>
      </c>
      <c r="D9" t="inlineStr">
        <is>
          <t>分段标准表（无现成标准则注明NA）</t>
        </is>
      </c>
    </row>
    <row r="10">
      <c r="A10" t="inlineStr">
        <is>
          <t>2026-09</t>
        </is>
      </c>
      <c r="B10" t="inlineStr">
        <is>
          <t>金炜铮</t>
        </is>
      </c>
      <c r="C10" t="inlineStr">
        <is>
          <t>绩效体系首月跑通+复盘</t>
        </is>
      </c>
      <c r="D10" t="inlineStr">
        <is>
          <t>首月记分卡+看板产出+修订清单</t>
        </is>
      </c>
    </row>
  </sheetData>
  <dataValidations count="1">
    <dataValidation sqref="E4:E200" showDropDown="0" showInputMessage="0" showErrorMessage="0" allowBlank="1" type="list">
      <formula1>"0,50,100"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2026-08-19T07:19:11Z</dcterms:created>
  <dcterms:modified xmlns:dcterms="http://purl.org/dc/terms/" xmlns:xsi="http://www.w3.org/2001/XMLSchema-instance" xsi:type="dcterms:W3CDTF">2026-08-19T07:19:11Z</dcterms:modified>
</cp:coreProperties>
</file>